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Rstudio\GenRef\"/>
    </mc:Choice>
  </mc:AlternateContent>
  <xr:revisionPtr revIDLastSave="0" documentId="13_ncr:1_{9574BA6C-F13A-4D76-8457-A95B22C1344B}" xr6:coauthVersionLast="47" xr6:coauthVersionMax="47" xr10:uidLastSave="{00000000-0000-0000-0000-000000000000}"/>
  <bookViews>
    <workbookView xWindow="14295" yWindow="0" windowWidth="14610" windowHeight="15585" firstSheet="9" activeTab="11" xr2:uid="{00000000-000D-0000-FFFF-FFFF00000000}"/>
  </bookViews>
  <sheets>
    <sheet name="ARN samples" sheetId="3" r:id="rId1"/>
    <sheet name="Treatments data" sheetId="1" r:id="rId2"/>
    <sheet name="qPCR raw data" sheetId="2" r:id="rId3"/>
    <sheet name="RefFinder" sheetId="18" r:id="rId4"/>
    <sheet name="Expression stability" sheetId="7" r:id="rId5"/>
    <sheet name="Pair_variation" sheetId="19" r:id="rId6"/>
    <sheet name="Absolute expression" sheetId="8" r:id="rId7"/>
    <sheet name="Absolute expression tissues" sheetId="11" r:id="rId8"/>
    <sheet name="Absolute expression sex" sheetId="12" r:id="rId9"/>
    <sheet name="Cq_tagged" sheetId="14" r:id="rId10"/>
    <sheet name="P_value" sheetId="17" r:id="rId11"/>
    <sheet name="EGR" sheetId="15" r:id="rId12"/>
  </sheets>
  <definedNames>
    <definedName name="_xlnm._FilterDatabase" localSheetId="6" hidden="1">'Absolute expression'!$A$1:$E$541</definedName>
    <definedName name="_xlnm._FilterDatabase" localSheetId="2" hidden="1">'qPCR raw data'!$A$13:$AR$68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7" i="1" l="1"/>
  <c r="I188" i="1"/>
  <c r="I189" i="1"/>
  <c r="I190" i="1"/>
  <c r="I191" i="1"/>
  <c r="I192" i="1"/>
  <c r="I195" i="1"/>
  <c r="I196" i="1"/>
  <c r="I197" i="1"/>
  <c r="I198" i="1"/>
  <c r="I199" i="1"/>
  <c r="I200" i="1"/>
  <c r="C187" i="1"/>
  <c r="T68" i="2"/>
  <c r="P68" i="2"/>
  <c r="Q68" i="2"/>
  <c r="R68" i="2"/>
  <c r="S68" i="2"/>
  <c r="U68" i="2"/>
  <c r="D200" i="1"/>
  <c r="E200" i="1"/>
  <c r="F200" i="1"/>
  <c r="G200" i="1"/>
  <c r="H200" i="1"/>
  <c r="J200" i="1"/>
  <c r="K200" i="1"/>
  <c r="D199" i="1"/>
  <c r="E199" i="1"/>
  <c r="F199" i="1"/>
  <c r="G199" i="1"/>
  <c r="H199" i="1"/>
  <c r="J199" i="1"/>
  <c r="K199" i="1"/>
  <c r="D198" i="1"/>
  <c r="E198" i="1"/>
  <c r="F198" i="1"/>
  <c r="G198" i="1"/>
  <c r="H198" i="1"/>
  <c r="J198" i="1"/>
  <c r="K198" i="1"/>
  <c r="D197" i="1"/>
  <c r="E197" i="1"/>
  <c r="F197" i="1"/>
  <c r="G197" i="1"/>
  <c r="H197" i="1"/>
  <c r="J197" i="1"/>
  <c r="K197" i="1"/>
  <c r="D196" i="1"/>
  <c r="E196" i="1"/>
  <c r="F196" i="1"/>
  <c r="G196" i="1"/>
  <c r="H196" i="1"/>
  <c r="J196" i="1"/>
  <c r="K196" i="1"/>
  <c r="D195" i="1"/>
  <c r="E195" i="1"/>
  <c r="F195" i="1"/>
  <c r="G195" i="1"/>
  <c r="H195" i="1"/>
  <c r="J195" i="1"/>
  <c r="K195" i="1"/>
  <c r="C200" i="1"/>
  <c r="C199" i="1"/>
  <c r="C198" i="1"/>
  <c r="C197" i="1"/>
  <c r="C196" i="1"/>
  <c r="C195" i="1"/>
  <c r="D192" i="1"/>
  <c r="E192" i="1"/>
  <c r="F192" i="1"/>
  <c r="G192" i="1"/>
  <c r="H192" i="1"/>
  <c r="J192" i="1"/>
  <c r="K192" i="1"/>
  <c r="D191" i="1"/>
  <c r="E191" i="1"/>
  <c r="F191" i="1"/>
  <c r="G191" i="1"/>
  <c r="H191" i="1"/>
  <c r="J191" i="1"/>
  <c r="K191" i="1"/>
  <c r="D190" i="1"/>
  <c r="E190" i="1"/>
  <c r="F190" i="1"/>
  <c r="G190" i="1"/>
  <c r="H190" i="1"/>
  <c r="J190" i="1"/>
  <c r="K190" i="1"/>
  <c r="D189" i="1"/>
  <c r="E189" i="1"/>
  <c r="F189" i="1"/>
  <c r="G189" i="1"/>
  <c r="H189" i="1"/>
  <c r="J189" i="1"/>
  <c r="K189" i="1"/>
  <c r="D188" i="1"/>
  <c r="E188" i="1"/>
  <c r="F188" i="1"/>
  <c r="G188" i="1"/>
  <c r="H188" i="1"/>
  <c r="J188" i="1"/>
  <c r="K188" i="1"/>
  <c r="D187" i="1"/>
  <c r="E187" i="1"/>
  <c r="F187" i="1"/>
  <c r="G187" i="1"/>
  <c r="H187" i="1"/>
  <c r="J187" i="1"/>
  <c r="K187" i="1"/>
  <c r="C192" i="1"/>
  <c r="C191" i="1"/>
  <c r="C190" i="1"/>
  <c r="C189" i="1"/>
  <c r="C188" i="1"/>
  <c r="AE17" i="2"/>
  <c r="AA14" i="2"/>
  <c r="AH15" i="2" l="1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14" i="2"/>
  <c r="AE14" i="2"/>
  <c r="AE15" i="2"/>
  <c r="AE16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Y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D9" i="2"/>
  <c r="D7" i="2"/>
  <c r="G4" i="2"/>
  <c r="G2" i="2"/>
  <c r="AI14" i="2" l="1"/>
  <c r="AD15" i="2"/>
  <c r="AF15" i="2"/>
  <c r="AP15" i="2" s="1"/>
  <c r="AF66" i="2"/>
  <c r="AF34" i="2"/>
  <c r="AP34" i="2" s="1"/>
  <c r="AF58" i="2"/>
  <c r="AP58" i="2" s="1"/>
  <c r="AF26" i="2"/>
  <c r="AP26" i="2" s="1"/>
  <c r="AF50" i="2"/>
  <c r="AP50" i="2" s="1"/>
  <c r="AF18" i="2"/>
  <c r="AP18" i="2" s="1"/>
  <c r="AR17" i="2"/>
  <c r="AR21" i="2"/>
  <c r="AR25" i="2"/>
  <c r="AR29" i="2"/>
  <c r="AR33" i="2"/>
  <c r="AR37" i="2"/>
  <c r="AR41" i="2"/>
  <c r="AR45" i="2"/>
  <c r="AR49" i="2"/>
  <c r="AR53" i="2"/>
  <c r="AR57" i="2"/>
  <c r="AR61" i="2"/>
  <c r="AR65" i="2"/>
  <c r="AR16" i="2"/>
  <c r="AQ17" i="2"/>
  <c r="AQ21" i="2"/>
  <c r="AQ25" i="2"/>
  <c r="AQ29" i="2"/>
  <c r="AQ33" i="2"/>
  <c r="AQ37" i="2"/>
  <c r="AQ41" i="2"/>
  <c r="AQ45" i="2"/>
  <c r="AQ49" i="2"/>
  <c r="AQ53" i="2"/>
  <c r="AQ57" i="2"/>
  <c r="AQ61" i="2"/>
  <c r="AQ65" i="2"/>
  <c r="AR23" i="2"/>
  <c r="AR35" i="2"/>
  <c r="AR43" i="2"/>
  <c r="AR51" i="2"/>
  <c r="AR59" i="2"/>
  <c r="AR67" i="2"/>
  <c r="AQ19" i="2"/>
  <c r="AQ27" i="2"/>
  <c r="AQ35" i="2"/>
  <c r="AQ43" i="2"/>
  <c r="AQ51" i="2"/>
  <c r="AQ59" i="2"/>
  <c r="AQ67" i="2"/>
  <c r="AR20" i="2"/>
  <c r="AR28" i="2"/>
  <c r="AR36" i="2"/>
  <c r="AR44" i="2"/>
  <c r="AR52" i="2"/>
  <c r="AR60" i="2"/>
  <c r="AR15" i="2"/>
  <c r="AQ20" i="2"/>
  <c r="AQ28" i="2"/>
  <c r="AQ36" i="2"/>
  <c r="AQ44" i="2"/>
  <c r="AQ52" i="2"/>
  <c r="AQ60" i="2"/>
  <c r="AQ64" i="2"/>
  <c r="AR18" i="2"/>
  <c r="AR22" i="2"/>
  <c r="AR26" i="2"/>
  <c r="AR30" i="2"/>
  <c r="AR34" i="2"/>
  <c r="AR38" i="2"/>
  <c r="AR42" i="2"/>
  <c r="AR46" i="2"/>
  <c r="AR50" i="2"/>
  <c r="AR54" i="2"/>
  <c r="AR58" i="2"/>
  <c r="AR62" i="2"/>
  <c r="AR66" i="2"/>
  <c r="AR14" i="2"/>
  <c r="AQ18" i="2"/>
  <c r="AQ22" i="2"/>
  <c r="AQ26" i="2"/>
  <c r="AQ30" i="2"/>
  <c r="AQ34" i="2"/>
  <c r="AQ38" i="2"/>
  <c r="AQ42" i="2"/>
  <c r="AQ46" i="2"/>
  <c r="AQ50" i="2"/>
  <c r="AQ54" i="2"/>
  <c r="AQ58" i="2"/>
  <c r="AQ62" i="2"/>
  <c r="AQ66" i="2"/>
  <c r="AP66" i="2"/>
  <c r="AR19" i="2"/>
  <c r="AR27" i="2"/>
  <c r="AR31" i="2"/>
  <c r="AR39" i="2"/>
  <c r="AR47" i="2"/>
  <c r="AR55" i="2"/>
  <c r="AR63" i="2"/>
  <c r="AQ15" i="2"/>
  <c r="AQ23" i="2"/>
  <c r="AQ31" i="2"/>
  <c r="AQ39" i="2"/>
  <c r="AQ47" i="2"/>
  <c r="AQ55" i="2"/>
  <c r="AQ63" i="2"/>
  <c r="AR24" i="2"/>
  <c r="AR32" i="2"/>
  <c r="AR40" i="2"/>
  <c r="AR48" i="2"/>
  <c r="AR56" i="2"/>
  <c r="AR64" i="2"/>
  <c r="AQ16" i="2"/>
  <c r="AQ24" i="2"/>
  <c r="AQ32" i="2"/>
  <c r="AQ40" i="2"/>
  <c r="AQ48" i="2"/>
  <c r="AQ56" i="2"/>
  <c r="AQ14" i="2"/>
  <c r="AF42" i="2"/>
  <c r="AP42" i="2" s="1"/>
  <c r="AD62" i="2"/>
  <c r="AN62" i="2" s="1"/>
  <c r="AD46" i="2"/>
  <c r="AN46" i="2" s="1"/>
  <c r="AD30" i="2"/>
  <c r="AN30" i="2" s="1"/>
  <c r="AD14" i="2"/>
  <c r="AN14" i="2" s="1"/>
  <c r="AD58" i="2"/>
  <c r="AN58" i="2" s="1"/>
  <c r="AD42" i="2"/>
  <c r="AN42" i="2" s="1"/>
  <c r="AD26" i="2"/>
  <c r="AN26" i="2" s="1"/>
  <c r="AF65" i="2"/>
  <c r="AP65" i="2" s="1"/>
  <c r="AF57" i="2"/>
  <c r="AP57" i="2" s="1"/>
  <c r="AF49" i="2"/>
  <c r="AP49" i="2" s="1"/>
  <c r="AF41" i="2"/>
  <c r="AP41" i="2" s="1"/>
  <c r="AF33" i="2"/>
  <c r="AP33" i="2" s="1"/>
  <c r="AF25" i="2"/>
  <c r="AP25" i="2" s="1"/>
  <c r="AF17" i="2"/>
  <c r="AP17" i="2" s="1"/>
  <c r="AO20" i="2"/>
  <c r="AO24" i="2"/>
  <c r="AO28" i="2"/>
  <c r="AO32" i="2"/>
  <c r="AO36" i="2"/>
  <c r="AO40" i="2"/>
  <c r="AO44" i="2"/>
  <c r="AO48" i="2"/>
  <c r="AO52" i="2"/>
  <c r="AO56" i="2"/>
  <c r="AO60" i="2"/>
  <c r="AO64" i="2"/>
  <c r="AO21" i="2"/>
  <c r="AO25" i="2"/>
  <c r="AO29" i="2"/>
  <c r="AO33" i="2"/>
  <c r="AO37" i="2"/>
  <c r="AO41" i="2"/>
  <c r="AO45" i="2"/>
  <c r="AO49" i="2"/>
  <c r="AO53" i="2"/>
  <c r="AO57" i="2"/>
  <c r="AO61" i="2"/>
  <c r="AO65" i="2"/>
  <c r="AO18" i="2"/>
  <c r="AO19" i="2"/>
  <c r="AM15" i="2"/>
  <c r="AM19" i="2"/>
  <c r="AM23" i="2"/>
  <c r="AM27" i="2"/>
  <c r="AM31" i="2"/>
  <c r="AM35" i="2"/>
  <c r="AM39" i="2"/>
  <c r="AM43" i="2"/>
  <c r="AM47" i="2"/>
  <c r="AM51" i="2"/>
  <c r="AM55" i="2"/>
  <c r="AM59" i="2"/>
  <c r="AM63" i="2"/>
  <c r="AM67" i="2"/>
  <c r="AL17" i="2"/>
  <c r="AL21" i="2"/>
  <c r="AL25" i="2"/>
  <c r="AL29" i="2"/>
  <c r="AL33" i="2"/>
  <c r="AL37" i="2"/>
  <c r="AL41" i="2"/>
  <c r="AL45" i="2"/>
  <c r="AL49" i="2"/>
  <c r="AL53" i="2"/>
  <c r="AL57" i="2"/>
  <c r="AL61" i="2"/>
  <c r="AL65" i="2"/>
  <c r="AK15" i="2"/>
  <c r="AK19" i="2"/>
  <c r="AK23" i="2"/>
  <c r="AK27" i="2"/>
  <c r="AK31" i="2"/>
  <c r="AK35" i="2"/>
  <c r="AK39" i="2"/>
  <c r="AK43" i="2"/>
  <c r="AK47" i="2"/>
  <c r="AK51" i="2"/>
  <c r="AK55" i="2"/>
  <c r="AK59" i="2"/>
  <c r="AK63" i="2"/>
  <c r="AK67" i="2"/>
  <c r="AJ18" i="2"/>
  <c r="AJ22" i="2"/>
  <c r="AJ26" i="2"/>
  <c r="AJ30" i="2"/>
  <c r="AJ34" i="2"/>
  <c r="AJ38" i="2"/>
  <c r="AJ42" i="2"/>
  <c r="AJ46" i="2"/>
  <c r="AJ50" i="2"/>
  <c r="AJ54" i="2"/>
  <c r="AJ58" i="2"/>
  <c r="AJ62" i="2"/>
  <c r="AJ66" i="2"/>
  <c r="AJ14" i="2"/>
  <c r="AI18" i="2"/>
  <c r="AI22" i="2"/>
  <c r="AI26" i="2"/>
  <c r="AO22" i="2"/>
  <c r="AO30" i="2"/>
  <c r="AO38" i="2"/>
  <c r="AO46" i="2"/>
  <c r="AO54" i="2"/>
  <c r="AO62" i="2"/>
  <c r="AO14" i="2"/>
  <c r="AN15" i="2"/>
  <c r="AM18" i="2"/>
  <c r="AM24" i="2"/>
  <c r="AM29" i="2"/>
  <c r="AM34" i="2"/>
  <c r="AM40" i="2"/>
  <c r="AM45" i="2"/>
  <c r="AM50" i="2"/>
  <c r="AM56" i="2"/>
  <c r="AM61" i="2"/>
  <c r="AM66" i="2"/>
  <c r="AL18" i="2"/>
  <c r="AL23" i="2"/>
  <c r="AL28" i="2"/>
  <c r="AL34" i="2"/>
  <c r="AL39" i="2"/>
  <c r="AL44" i="2"/>
  <c r="AL50" i="2"/>
  <c r="AL55" i="2"/>
  <c r="AL60" i="2"/>
  <c r="AL66" i="2"/>
  <c r="AK17" i="2"/>
  <c r="AK22" i="2"/>
  <c r="AK28" i="2"/>
  <c r="AK33" i="2"/>
  <c r="AK38" i="2"/>
  <c r="AK44" i="2"/>
  <c r="AK49" i="2"/>
  <c r="AK54" i="2"/>
  <c r="AK60" i="2"/>
  <c r="AK65" i="2"/>
  <c r="AJ17" i="2"/>
  <c r="AJ23" i="2"/>
  <c r="AJ28" i="2"/>
  <c r="AJ33" i="2"/>
  <c r="AJ39" i="2"/>
  <c r="AJ44" i="2"/>
  <c r="AJ49" i="2"/>
  <c r="AJ55" i="2"/>
  <c r="AJ60" i="2"/>
  <c r="AJ65" i="2"/>
  <c r="AI15" i="2"/>
  <c r="AI20" i="2"/>
  <c r="AI25" i="2"/>
  <c r="AI30" i="2"/>
  <c r="AI34" i="2"/>
  <c r="AI38" i="2"/>
  <c r="AI42" i="2"/>
  <c r="AI46" i="2"/>
  <c r="AI50" i="2"/>
  <c r="AI54" i="2"/>
  <c r="AI58" i="2"/>
  <c r="AI62" i="2"/>
  <c r="AI66" i="2"/>
  <c r="AL46" i="2"/>
  <c r="AL51" i="2"/>
  <c r="AL56" i="2"/>
  <c r="AL62" i="2"/>
  <c r="AL67" i="2"/>
  <c r="AK18" i="2"/>
  <c r="AK24" i="2"/>
  <c r="AK29" i="2"/>
  <c r="AK34" i="2"/>
  <c r="AK40" i="2"/>
  <c r="AK45" i="2"/>
  <c r="AK50" i="2"/>
  <c r="AK56" i="2"/>
  <c r="AK61" i="2"/>
  <c r="AK66" i="2"/>
  <c r="AO23" i="2"/>
  <c r="AO31" i="2"/>
  <c r="AO39" i="2"/>
  <c r="AO47" i="2"/>
  <c r="AO55" i="2"/>
  <c r="AO63" i="2"/>
  <c r="AO17" i="2"/>
  <c r="AM20" i="2"/>
  <c r="AM25" i="2"/>
  <c r="AM30" i="2"/>
  <c r="AM36" i="2"/>
  <c r="AM41" i="2"/>
  <c r="AM46" i="2"/>
  <c r="AM52" i="2"/>
  <c r="AM57" i="2"/>
  <c r="AM62" i="2"/>
  <c r="AM14" i="2"/>
  <c r="AL19" i="2"/>
  <c r="AL24" i="2"/>
  <c r="AL30" i="2"/>
  <c r="AL35" i="2"/>
  <c r="AL40" i="2"/>
  <c r="AO26" i="2"/>
  <c r="AO42" i="2"/>
  <c r="AO58" i="2"/>
  <c r="AM17" i="2"/>
  <c r="AM28" i="2"/>
  <c r="AM38" i="2"/>
  <c r="AM49" i="2"/>
  <c r="AM60" i="2"/>
  <c r="AL16" i="2"/>
  <c r="AL27" i="2"/>
  <c r="AL38" i="2"/>
  <c r="AL48" i="2"/>
  <c r="AL59" i="2"/>
  <c r="AK16" i="2"/>
  <c r="AK26" i="2"/>
  <c r="AK37" i="2"/>
  <c r="AK48" i="2"/>
  <c r="AK58" i="2"/>
  <c r="AK14" i="2"/>
  <c r="AJ24" i="2"/>
  <c r="AJ31" i="2"/>
  <c r="AJ37" i="2"/>
  <c r="AJ45" i="2"/>
  <c r="AJ52" i="2"/>
  <c r="AJ59" i="2"/>
  <c r="AJ67" i="2"/>
  <c r="AI17" i="2"/>
  <c r="AI24" i="2"/>
  <c r="AI31" i="2"/>
  <c r="AI36" i="2"/>
  <c r="AI41" i="2"/>
  <c r="AI47" i="2"/>
  <c r="AI52" i="2"/>
  <c r="AI57" i="2"/>
  <c r="AI63" i="2"/>
  <c r="AO27" i="2"/>
  <c r="AO43" i="2"/>
  <c r="AO59" i="2"/>
  <c r="AO15" i="2"/>
  <c r="AM21" i="2"/>
  <c r="AM32" i="2"/>
  <c r="AM42" i="2"/>
  <c r="AM53" i="2"/>
  <c r="AM64" i="2"/>
  <c r="AL20" i="2"/>
  <c r="AL31" i="2"/>
  <c r="AL42" i="2"/>
  <c r="AL52" i="2"/>
  <c r="AL63" i="2"/>
  <c r="AK20" i="2"/>
  <c r="AK30" i="2"/>
  <c r="AK41" i="2"/>
  <c r="AK52" i="2"/>
  <c r="AK62" i="2"/>
  <c r="AJ19" i="2"/>
  <c r="AJ25" i="2"/>
  <c r="AJ32" i="2"/>
  <c r="AJ40" i="2"/>
  <c r="AJ47" i="2"/>
  <c r="AJ53" i="2"/>
  <c r="AJ61" i="2"/>
  <c r="AJ15" i="2"/>
  <c r="AI19" i="2"/>
  <c r="AI27" i="2"/>
  <c r="AI32" i="2"/>
  <c r="AI37" i="2"/>
  <c r="AI43" i="2"/>
  <c r="AI48" i="2"/>
  <c r="AI53" i="2"/>
  <c r="AI59" i="2"/>
  <c r="AI64" i="2"/>
  <c r="AO34" i="2"/>
  <c r="AO50" i="2"/>
  <c r="AO66" i="2"/>
  <c r="AO16" i="2"/>
  <c r="AM22" i="2"/>
  <c r="AM33" i="2"/>
  <c r="AM44" i="2"/>
  <c r="AM54" i="2"/>
  <c r="AM65" i="2"/>
  <c r="AL22" i="2"/>
  <c r="AL32" i="2"/>
  <c r="AL43" i="2"/>
  <c r="AL54" i="2"/>
  <c r="AL64" i="2"/>
  <c r="AK21" i="2"/>
  <c r="AK32" i="2"/>
  <c r="AK42" i="2"/>
  <c r="AK53" i="2"/>
  <c r="AK64" i="2"/>
  <c r="AJ20" i="2"/>
  <c r="AJ27" i="2"/>
  <c r="AJ35" i="2"/>
  <c r="AJ41" i="2"/>
  <c r="AJ48" i="2"/>
  <c r="AJ56" i="2"/>
  <c r="AJ63" i="2"/>
  <c r="AJ16" i="2"/>
  <c r="AI21" i="2"/>
  <c r="AI28" i="2"/>
  <c r="AI33" i="2"/>
  <c r="AI39" i="2"/>
  <c r="AI44" i="2"/>
  <c r="AI49" i="2"/>
  <c r="AI55" i="2"/>
  <c r="AI60" i="2"/>
  <c r="AI65" i="2"/>
  <c r="AO35" i="2"/>
  <c r="AO51" i="2"/>
  <c r="AO67" i="2"/>
  <c r="AM16" i="2"/>
  <c r="AM26" i="2"/>
  <c r="AM37" i="2"/>
  <c r="AM48" i="2"/>
  <c r="AM58" i="2"/>
  <c r="AL15" i="2"/>
  <c r="AL26" i="2"/>
  <c r="AL36" i="2"/>
  <c r="AL47" i="2"/>
  <c r="AL58" i="2"/>
  <c r="AL14" i="2"/>
  <c r="AK25" i="2"/>
  <c r="AK36" i="2"/>
  <c r="AK46" i="2"/>
  <c r="AK57" i="2"/>
  <c r="AJ21" i="2"/>
  <c r="AJ29" i="2"/>
  <c r="AJ36" i="2"/>
  <c r="AJ43" i="2"/>
  <c r="AJ51" i="2"/>
  <c r="AJ57" i="2"/>
  <c r="AJ64" i="2"/>
  <c r="AI16" i="2"/>
  <c r="AI23" i="2"/>
  <c r="AI29" i="2"/>
  <c r="AI35" i="2"/>
  <c r="AI40" i="2"/>
  <c r="AI45" i="2"/>
  <c r="AI51" i="2"/>
  <c r="AI56" i="2"/>
  <c r="AI61" i="2"/>
  <c r="AI67" i="2"/>
  <c r="AD54" i="2"/>
  <c r="AN54" i="2" s="1"/>
  <c r="AD38" i="2"/>
  <c r="AN38" i="2" s="1"/>
  <c r="AD22" i="2"/>
  <c r="AN22" i="2" s="1"/>
  <c r="AF62" i="2"/>
  <c r="AP62" i="2" s="1"/>
  <c r="AF54" i="2"/>
  <c r="AP54" i="2" s="1"/>
  <c r="AF46" i="2"/>
  <c r="AP46" i="2" s="1"/>
  <c r="AF38" i="2"/>
  <c r="AP38" i="2" s="1"/>
  <c r="AF30" i="2"/>
  <c r="AP30" i="2" s="1"/>
  <c r="AF22" i="2"/>
  <c r="AP22" i="2" s="1"/>
  <c r="AD66" i="2"/>
  <c r="AN66" i="2" s="1"/>
  <c r="AD50" i="2"/>
  <c r="AN50" i="2" s="1"/>
  <c r="AD34" i="2"/>
  <c r="AN34" i="2" s="1"/>
  <c r="AD18" i="2"/>
  <c r="AN18" i="2" s="1"/>
  <c r="AF61" i="2"/>
  <c r="AP61" i="2" s="1"/>
  <c r="AF53" i="2"/>
  <c r="AP53" i="2" s="1"/>
  <c r="AF45" i="2"/>
  <c r="AP45" i="2" s="1"/>
  <c r="AF37" i="2"/>
  <c r="AP37" i="2" s="1"/>
  <c r="AF29" i="2"/>
  <c r="AP29" i="2" s="1"/>
  <c r="AF21" i="2"/>
  <c r="AP21" i="2" s="1"/>
  <c r="AD65" i="2"/>
  <c r="AN65" i="2" s="1"/>
  <c r="AD61" i="2"/>
  <c r="AN61" i="2" s="1"/>
  <c r="AD57" i="2"/>
  <c r="AN57" i="2" s="1"/>
  <c r="AD53" i="2"/>
  <c r="AN53" i="2" s="1"/>
  <c r="AD49" i="2"/>
  <c r="AN49" i="2" s="1"/>
  <c r="AD45" i="2"/>
  <c r="AN45" i="2" s="1"/>
  <c r="AD41" i="2"/>
  <c r="AN41" i="2" s="1"/>
  <c r="AD37" i="2"/>
  <c r="AN37" i="2" s="1"/>
  <c r="AD33" i="2"/>
  <c r="AN33" i="2" s="1"/>
  <c r="AD29" i="2"/>
  <c r="AN29" i="2" s="1"/>
  <c r="AD25" i="2"/>
  <c r="AN25" i="2" s="1"/>
  <c r="AD21" i="2"/>
  <c r="AN21" i="2" s="1"/>
  <c r="AD17" i="2"/>
  <c r="AN17" i="2" s="1"/>
  <c r="AD64" i="2"/>
  <c r="AN64" i="2" s="1"/>
  <c r="AD60" i="2"/>
  <c r="AN60" i="2" s="1"/>
  <c r="AD52" i="2"/>
  <c r="AN52" i="2" s="1"/>
  <c r="AD48" i="2"/>
  <c r="AN48" i="2" s="1"/>
  <c r="AD44" i="2"/>
  <c r="AN44" i="2" s="1"/>
  <c r="AD40" i="2"/>
  <c r="AN40" i="2" s="1"/>
  <c r="AD36" i="2"/>
  <c r="AN36" i="2" s="1"/>
  <c r="AD32" i="2"/>
  <c r="AN32" i="2" s="1"/>
  <c r="AD28" i="2"/>
  <c r="AN28" i="2" s="1"/>
  <c r="AD24" i="2"/>
  <c r="AN24" i="2" s="1"/>
  <c r="AD20" i="2"/>
  <c r="AN20" i="2" s="1"/>
  <c r="AD16" i="2"/>
  <c r="AN16" i="2" s="1"/>
  <c r="AF14" i="2"/>
  <c r="AP14" i="2" s="1"/>
  <c r="AF64" i="2"/>
  <c r="AP64" i="2" s="1"/>
  <c r="AF60" i="2"/>
  <c r="AP60" i="2" s="1"/>
  <c r="AF56" i="2"/>
  <c r="AP56" i="2" s="1"/>
  <c r="AF52" i="2"/>
  <c r="AP52" i="2" s="1"/>
  <c r="AF48" i="2"/>
  <c r="AP48" i="2" s="1"/>
  <c r="AF44" i="2"/>
  <c r="AP44" i="2" s="1"/>
  <c r="AF40" i="2"/>
  <c r="AP40" i="2" s="1"/>
  <c r="AF36" i="2"/>
  <c r="AP36" i="2" s="1"/>
  <c r="AF32" i="2"/>
  <c r="AP32" i="2" s="1"/>
  <c r="AF28" i="2"/>
  <c r="AP28" i="2" s="1"/>
  <c r="AF24" i="2"/>
  <c r="AP24" i="2" s="1"/>
  <c r="AF20" i="2"/>
  <c r="AP20" i="2" s="1"/>
  <c r="AF16" i="2"/>
  <c r="AP16" i="2" s="1"/>
  <c r="AD56" i="2"/>
  <c r="AN56" i="2" s="1"/>
  <c r="AD67" i="2"/>
  <c r="AN67" i="2" s="1"/>
  <c r="AD63" i="2"/>
  <c r="AN63" i="2" s="1"/>
  <c r="AD59" i="2"/>
  <c r="AN59" i="2" s="1"/>
  <c r="AD55" i="2"/>
  <c r="AN55" i="2" s="1"/>
  <c r="AD51" i="2"/>
  <c r="AN51" i="2" s="1"/>
  <c r="AD47" i="2"/>
  <c r="AN47" i="2" s="1"/>
  <c r="AD43" i="2"/>
  <c r="AN43" i="2" s="1"/>
  <c r="AD39" i="2"/>
  <c r="AN39" i="2" s="1"/>
  <c r="AD35" i="2"/>
  <c r="AN35" i="2" s="1"/>
  <c r="AD31" i="2"/>
  <c r="AN31" i="2" s="1"/>
  <c r="AD27" i="2"/>
  <c r="AN27" i="2" s="1"/>
  <c r="AD23" i="2"/>
  <c r="AN23" i="2" s="1"/>
  <c r="AD19" i="2"/>
  <c r="AN19" i="2" s="1"/>
  <c r="AF67" i="2"/>
  <c r="AP67" i="2" s="1"/>
  <c r="AF63" i="2"/>
  <c r="AP63" i="2" s="1"/>
  <c r="AF59" i="2"/>
  <c r="AP59" i="2" s="1"/>
  <c r="AF55" i="2"/>
  <c r="AP55" i="2" s="1"/>
  <c r="AF51" i="2"/>
  <c r="AP51" i="2" s="1"/>
  <c r="AF47" i="2"/>
  <c r="AP47" i="2" s="1"/>
  <c r="AF43" i="2"/>
  <c r="AP43" i="2" s="1"/>
  <c r="AF39" i="2"/>
  <c r="AP39" i="2" s="1"/>
  <c r="AF35" i="2"/>
  <c r="AP35" i="2" s="1"/>
  <c r="AF31" i="2"/>
  <c r="AP31" i="2" s="1"/>
  <c r="AF27" i="2"/>
  <c r="AP27" i="2" s="1"/>
  <c r="AF23" i="2"/>
  <c r="AP23" i="2" s="1"/>
  <c r="AF19" i="2"/>
  <c r="AP19" i="2" s="1"/>
  <c r="G18" i="3" l="1"/>
  <c r="H18" i="3" s="1"/>
  <c r="W68" i="2"/>
  <c r="V68" i="2"/>
</calcChain>
</file>

<file path=xl/sharedStrings.xml><?xml version="1.0" encoding="utf-8"?>
<sst xmlns="http://schemas.openxmlformats.org/spreadsheetml/2006/main" count="8251" uniqueCount="251">
  <si>
    <t>Muesta</t>
  </si>
  <si>
    <t>ID</t>
  </si>
  <si>
    <t>Tagma</t>
  </si>
  <si>
    <t>Tratamiento</t>
  </si>
  <si>
    <t>Sexo</t>
  </si>
  <si>
    <t xml:space="preserve">Concentración(ng/ul) </t>
  </si>
  <si>
    <t xml:space="preserve">A260/280 </t>
  </si>
  <si>
    <t xml:space="preserve">A260/230 </t>
  </si>
  <si>
    <t>01.H</t>
  </si>
  <si>
    <t>Cabeza</t>
  </si>
  <si>
    <t>Cold</t>
  </si>
  <si>
    <t>Female</t>
  </si>
  <si>
    <t>01.T</t>
  </si>
  <si>
    <t>Torax</t>
  </si>
  <si>
    <t>01.A</t>
  </si>
  <si>
    <t>Abdomen</t>
  </si>
  <si>
    <t>02.H</t>
  </si>
  <si>
    <t>02.T</t>
  </si>
  <si>
    <t>02.A</t>
  </si>
  <si>
    <t>03.H</t>
  </si>
  <si>
    <t>03.T</t>
  </si>
  <si>
    <t>03.A</t>
  </si>
  <si>
    <t>04.H</t>
  </si>
  <si>
    <t>Control</t>
  </si>
  <si>
    <t>04.T</t>
  </si>
  <si>
    <t>04.A</t>
  </si>
  <si>
    <t>05.H</t>
  </si>
  <si>
    <t>05.T</t>
  </si>
  <si>
    <t>05.A</t>
  </si>
  <si>
    <t>06.H</t>
  </si>
  <si>
    <t>06.T</t>
  </si>
  <si>
    <t>06.A</t>
  </si>
  <si>
    <t>17.H</t>
  </si>
  <si>
    <t>Heat</t>
  </si>
  <si>
    <t>17.T</t>
  </si>
  <si>
    <t>17.A</t>
  </si>
  <si>
    <t>18.H</t>
  </si>
  <si>
    <t>18.T</t>
  </si>
  <si>
    <t>18.A</t>
  </si>
  <si>
    <t>19.H</t>
  </si>
  <si>
    <t>19.T</t>
  </si>
  <si>
    <t>19.A</t>
  </si>
  <si>
    <t>08.H</t>
  </si>
  <si>
    <t>Male</t>
  </si>
  <si>
    <t>08.T</t>
  </si>
  <si>
    <t>08.A</t>
  </si>
  <si>
    <t>09.H</t>
  </si>
  <si>
    <t>09.T</t>
  </si>
  <si>
    <t>09.A</t>
  </si>
  <si>
    <t>10.H</t>
  </si>
  <si>
    <t>10.T</t>
  </si>
  <si>
    <t>10.A</t>
  </si>
  <si>
    <t>12.H</t>
  </si>
  <si>
    <t>12.T</t>
  </si>
  <si>
    <t>12.A</t>
  </si>
  <si>
    <t>13.H</t>
  </si>
  <si>
    <t>13.T</t>
  </si>
  <si>
    <t>13.A</t>
  </si>
  <si>
    <t>14.H</t>
  </si>
  <si>
    <t>14.T</t>
  </si>
  <si>
    <t>14.A</t>
  </si>
  <si>
    <t>23.H</t>
  </si>
  <si>
    <t>23.T</t>
  </si>
  <si>
    <t>23.A</t>
  </si>
  <si>
    <t>24.H</t>
  </si>
  <si>
    <t>24.T</t>
  </si>
  <si>
    <t>24.A</t>
  </si>
  <si>
    <t>25.H</t>
  </si>
  <si>
    <t>25.T</t>
  </si>
  <si>
    <t>25.A</t>
  </si>
  <si>
    <t>Primers</t>
  </si>
  <si>
    <t>Eq</t>
  </si>
  <si>
    <t>b</t>
  </si>
  <si>
    <t>m</t>
  </si>
  <si>
    <t>Amplicón</t>
  </si>
  <si>
    <t>Amp. Size</t>
  </si>
  <si>
    <t>bases</t>
  </si>
  <si>
    <t xml:space="preserve">Formulas: </t>
  </si>
  <si>
    <t xml:space="preserve">Cuantificacion Absoluta </t>
  </si>
  <si>
    <t>Actin1</t>
  </si>
  <si>
    <t>X = (Y - 21,786)/(-3,369)</t>
  </si>
  <si>
    <t>Avogadro</t>
  </si>
  <si>
    <t>Constant</t>
  </si>
  <si>
    <t>Actin2</t>
  </si>
  <si>
    <t>X = (Y - 24,365)/(-3,200)</t>
  </si>
  <si>
    <t>BP weight</t>
  </si>
  <si>
    <t>Da</t>
  </si>
  <si>
    <t>eEFA1</t>
  </si>
  <si>
    <t>X = (Y - 25,688)/(-3,575)</t>
  </si>
  <si>
    <t>DNA con</t>
  </si>
  <si>
    <t>g/uL</t>
  </si>
  <si>
    <t>Arginine</t>
  </si>
  <si>
    <t>X = (Y - 24,976)/(-3,512)</t>
  </si>
  <si>
    <t>Annexine</t>
  </si>
  <si>
    <t>X = (Y - 27,515)/(-3,358)</t>
  </si>
  <si>
    <t>pAbp</t>
  </si>
  <si>
    <t>X = (Y - 27.662)/(-3.439)</t>
  </si>
  <si>
    <t>S3A</t>
  </si>
  <si>
    <t>X = (Y - 25.686)/(-3.2528)</t>
  </si>
  <si>
    <t>L3</t>
  </si>
  <si>
    <t>X = (Y - 26.72)/(-3.387)</t>
  </si>
  <si>
    <t>GAPDH</t>
  </si>
  <si>
    <t>Ubiquinol</t>
  </si>
  <si>
    <t>Absolute expression</t>
  </si>
  <si>
    <t>Treatment</t>
  </si>
  <si>
    <t>Sex</t>
  </si>
  <si>
    <t>ACTINA1_1</t>
  </si>
  <si>
    <t>Actin1_2</t>
  </si>
  <si>
    <t>AV_Actin1</t>
  </si>
  <si>
    <t>Actin2_1</t>
  </si>
  <si>
    <t>Actin2_2</t>
  </si>
  <si>
    <t>AV_Actin2</t>
  </si>
  <si>
    <t>Arginine1</t>
  </si>
  <si>
    <t>Arginine2</t>
  </si>
  <si>
    <t>Av_arginine</t>
  </si>
  <si>
    <t>Annexin_1</t>
  </si>
  <si>
    <t>Annexin_2</t>
  </si>
  <si>
    <t>Av_Annexin</t>
  </si>
  <si>
    <t>Eefa1_1</t>
  </si>
  <si>
    <t>eEFA1_2</t>
  </si>
  <si>
    <t>Av_Eefa1</t>
  </si>
  <si>
    <t>RPS3A</t>
  </si>
  <si>
    <t>RPL3</t>
  </si>
  <si>
    <t>Av_HSP90</t>
  </si>
  <si>
    <t>Aq_Actin1</t>
  </si>
  <si>
    <t>Aq_Actin2</t>
  </si>
  <si>
    <t>Aq_Arginine</t>
  </si>
  <si>
    <t>Aq_Annexin</t>
  </si>
  <si>
    <t>Aq_eEFA1</t>
  </si>
  <si>
    <t>Aq pAbp</t>
  </si>
  <si>
    <t>Aq S3A</t>
  </si>
  <si>
    <t>Aq L3</t>
  </si>
  <si>
    <t>Aq GAPDH</t>
  </si>
  <si>
    <t>Aq Ubiquinol</t>
  </si>
  <si>
    <t>NC_Actin1</t>
  </si>
  <si>
    <t>NC_Actin2</t>
  </si>
  <si>
    <t>NC_Arginine</t>
  </si>
  <si>
    <t>NC_Annexin</t>
  </si>
  <si>
    <t>NC_Eefa1</t>
  </si>
  <si>
    <t>NC_pAbp</t>
  </si>
  <si>
    <t>NC_S3A</t>
  </si>
  <si>
    <t>NC_L3</t>
  </si>
  <si>
    <t>NC_GAPDH</t>
  </si>
  <si>
    <t>NC_Ubiquinol</t>
  </si>
  <si>
    <t>Hembra</t>
  </si>
  <si>
    <t>Head</t>
  </si>
  <si>
    <t>Thorax</t>
  </si>
  <si>
    <t>Macho</t>
  </si>
  <si>
    <t>SD</t>
  </si>
  <si>
    <t>Annexin</t>
  </si>
  <si>
    <t>Eefa1</t>
  </si>
  <si>
    <t>Genorm</t>
  </si>
  <si>
    <t xml:space="preserve">NormFinder </t>
  </si>
  <si>
    <t>RefFinder</t>
  </si>
  <si>
    <t xml:space="preserve">Variation </t>
  </si>
  <si>
    <t>Gene</t>
  </si>
  <si>
    <t>M</t>
  </si>
  <si>
    <t>S</t>
  </si>
  <si>
    <t>Geomean of ranking values</t>
  </si>
  <si>
    <t>pABp</t>
  </si>
  <si>
    <t>RSP3A</t>
  </si>
  <si>
    <t>Tissues</t>
  </si>
  <si>
    <t>NormFinder</t>
  </si>
  <si>
    <t xml:space="preserve">Gene </t>
  </si>
  <si>
    <t xml:space="preserve">Temperature </t>
  </si>
  <si>
    <t>Cold/ Head/Female</t>
  </si>
  <si>
    <t>Cold/ Head/Male</t>
  </si>
  <si>
    <t>Variation</t>
  </si>
  <si>
    <t>Eefa1 | pAbp</t>
  </si>
  <si>
    <t>Actin2 | pAbp</t>
  </si>
  <si>
    <t>Control/ Head/Female</t>
  </si>
  <si>
    <t>Control/Head/Male</t>
  </si>
  <si>
    <t>Annexin | RPS3A</t>
  </si>
  <si>
    <t>Heat/ Head/Female</t>
  </si>
  <si>
    <t>Heat/ Head/Male</t>
  </si>
  <si>
    <t>Eefa1 | Ubiquinol</t>
  </si>
  <si>
    <t>Arginine | Eefa1</t>
  </si>
  <si>
    <t>Cold/ Thorax/Female</t>
  </si>
  <si>
    <t>Cold/ Thorax/Male</t>
  </si>
  <si>
    <t>Actin2 | Eefa1</t>
  </si>
  <si>
    <t>Control/ Thorax/Female</t>
  </si>
  <si>
    <t>Arginine | pAbp</t>
  </si>
  <si>
    <t>Heat/ Thorax/Female</t>
  </si>
  <si>
    <t>Arginine | RPL3</t>
  </si>
  <si>
    <t>Cold/ Abdomen/Female</t>
  </si>
  <si>
    <t>Annexin | RPL3</t>
  </si>
  <si>
    <t>Control/Abdomen/Female</t>
  </si>
  <si>
    <t>Annexin | pAbp</t>
  </si>
  <si>
    <t>Heat/ Abdomen/Female</t>
  </si>
  <si>
    <t>Eefa1 | RPS3A</t>
  </si>
  <si>
    <t>Control/Thorax/Male</t>
  </si>
  <si>
    <t>pAbp | RPS3A</t>
  </si>
  <si>
    <t>Heat/ Thorax/Male</t>
  </si>
  <si>
    <t>Actin2 | Arginine</t>
  </si>
  <si>
    <t>Cold/ Abdomen/Male</t>
  </si>
  <si>
    <t>Control/Abdomen/Male</t>
  </si>
  <si>
    <t>Heat/ Abdomen/Male</t>
  </si>
  <si>
    <t>Actin1 | Actin2</t>
  </si>
  <si>
    <t>Cold/Tissues</t>
  </si>
  <si>
    <t>Heat/Tissues</t>
  </si>
  <si>
    <t>Both temperatures/ Tissues</t>
  </si>
  <si>
    <t>Cold/Sex</t>
  </si>
  <si>
    <t>Heat/Sex</t>
  </si>
  <si>
    <t>Actin1 | RPL3</t>
  </si>
  <si>
    <t>Both temperatures/ Sex</t>
  </si>
  <si>
    <t>Actin1 | Ubiquinol</t>
  </si>
  <si>
    <t>NC</t>
  </si>
  <si>
    <t>Actin</t>
  </si>
  <si>
    <t>Cold (4°C)</t>
  </si>
  <si>
    <t>H</t>
  </si>
  <si>
    <t>T</t>
  </si>
  <si>
    <t>A</t>
  </si>
  <si>
    <t>Control (25°C)</t>
  </si>
  <si>
    <t>Heat (40°C)</t>
  </si>
  <si>
    <t>eefa1</t>
  </si>
  <si>
    <t>ACT1</t>
  </si>
  <si>
    <t>ACT2</t>
  </si>
  <si>
    <t>AK</t>
  </si>
  <si>
    <t>ANX</t>
  </si>
  <si>
    <t>eEfa1</t>
  </si>
  <si>
    <t>UQCC</t>
  </si>
  <si>
    <t>Ct</t>
  </si>
  <si>
    <t>UCCR</t>
  </si>
  <si>
    <t>Log_EGR</t>
  </si>
  <si>
    <t>HSP90</t>
  </si>
  <si>
    <t>Genes</t>
  </si>
  <si>
    <t>Gene name</t>
  </si>
  <si>
    <t>Stability value</t>
  </si>
  <si>
    <r>
      <t>eEf1α</t>
    </r>
    <r>
      <rPr>
        <sz val="9"/>
        <color rgb="FF0E101A"/>
        <rFont val="Arial"/>
        <family val="2"/>
      </rPr>
      <t> </t>
    </r>
  </si>
  <si>
    <t>Tissue</t>
  </si>
  <si>
    <t>Conditions</t>
  </si>
  <si>
    <t>P_value</t>
  </si>
  <si>
    <t>Temperature</t>
  </si>
  <si>
    <t>Tem+Sex</t>
  </si>
  <si>
    <t>Tem+Tissue</t>
  </si>
  <si>
    <t>Tissue+Sex</t>
  </si>
  <si>
    <t>Temp+Sex+Tissue</t>
  </si>
  <si>
    <t>Condition</t>
  </si>
  <si>
    <t>ranking</t>
  </si>
  <si>
    <t>Pairwise</t>
  </si>
  <si>
    <t>V2/3</t>
  </si>
  <si>
    <t>V3/4</t>
  </si>
  <si>
    <t>V4/5</t>
  </si>
  <si>
    <t>V5/6</t>
  </si>
  <si>
    <t>V6/7</t>
  </si>
  <si>
    <t>V7/8</t>
  </si>
  <si>
    <t>V8/9</t>
  </si>
  <si>
    <t>EGR</t>
  </si>
  <si>
    <t>best</t>
  </si>
  <si>
    <t>worst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</si>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</sst>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###0.00;\-###0.00"/>
    <numFmt numFmtId="166" formatCode="d\-m\-yyyy"/>
    <numFmt numFmtId="167" formatCode="dd\-mm\-yyyy"/>
    <numFmt numFmtId="168" formatCode="0.000"/>
    <numFmt numFmtId="169" formatCode="#,#00"/>
    <numFmt numFmtId="170" formatCode="0.000000"/>
    <numFmt numFmtId="171" formatCode="#,#00.0000000000"/>
  </numFmts>
  <fonts count="4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5"/>
      <name val="Calibri Light"/>
      <family val="2"/>
      <scheme val="major"/>
    </font>
    <font>
      <b/>
      <sz val="10"/>
      <color theme="9" tint="-0.249977111117893"/>
      <name val="Calibri Light"/>
      <family val="2"/>
      <scheme val="major"/>
    </font>
    <font>
      <b/>
      <sz val="10"/>
      <color rgb="FF00B0F0"/>
      <name val="Calibri Light"/>
      <family val="2"/>
      <scheme val="major"/>
    </font>
    <font>
      <b/>
      <sz val="10"/>
      <color theme="1"/>
      <name val="Calibri Light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C99FF"/>
      <name val="Calibri Light"/>
      <family val="2"/>
      <scheme val="major"/>
    </font>
    <font>
      <b/>
      <sz val="10"/>
      <color rgb="FF0070C0"/>
      <name val="Calibri Light"/>
      <family val="2"/>
      <scheme val="major"/>
    </font>
    <font>
      <b/>
      <sz val="11"/>
      <color rgb="FF000000"/>
      <name val="Calibri"/>
      <family val="2"/>
      <scheme val="minor"/>
    </font>
    <font>
      <b/>
      <sz val="11"/>
      <color rgb="FF1155CC"/>
      <name val="Calibri"/>
      <family val="2"/>
      <scheme val="minor"/>
    </font>
    <font>
      <b/>
      <sz val="11"/>
      <color rgb="FFA64D7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38761D"/>
      <name val="Calibri"/>
      <family val="2"/>
      <scheme val="minor"/>
    </font>
    <font>
      <sz val="12"/>
      <color rgb="FFE06666"/>
      <name val="Calibri"/>
      <family val="2"/>
    </font>
    <font>
      <sz val="11"/>
      <color rgb="FF980000"/>
      <name val="Calibri"/>
      <family val="2"/>
      <scheme val="minor"/>
    </font>
    <font>
      <b/>
      <sz val="11"/>
      <color rgb="FF98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rgb="FFE6913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45818E"/>
      <name val="Calibri"/>
      <family val="2"/>
      <scheme val="minor"/>
    </font>
    <font>
      <b/>
      <sz val="11"/>
      <color rgb="FF134F5C"/>
      <name val="Calibri"/>
      <family val="2"/>
      <scheme val="minor"/>
    </font>
    <font>
      <sz val="12"/>
      <name val="Calibri"/>
      <family val="2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name val="Calibri Light"/>
      <family val="2"/>
    </font>
    <font>
      <b/>
      <sz val="10"/>
      <name val="Calibri Light"/>
      <family val="2"/>
      <scheme val="major"/>
    </font>
    <font>
      <sz val="12"/>
      <color rgb="FF111111"/>
      <name val="Segoe UI"/>
      <family val="2"/>
    </font>
    <font>
      <b/>
      <sz val="9"/>
      <color rgb="FF111111"/>
      <name val="Segoe U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Arial"/>
      <charset val="1"/>
    </font>
    <font>
      <b/>
      <sz val="10"/>
      <color rgb="FF000000"/>
      <name val="Calibri Light"/>
      <family val="2"/>
      <scheme val="major"/>
    </font>
    <font>
      <b/>
      <sz val="10"/>
      <color rgb="FF000000"/>
      <name val="Calibri"/>
      <family val="2"/>
    </font>
    <font>
      <sz val="8"/>
      <color rgb="FF222222"/>
      <name val="Verdana"/>
      <family val="2"/>
    </font>
    <font>
      <i/>
      <sz val="9"/>
      <color rgb="FF0E101A"/>
      <name val="Arial"/>
      <family val="2"/>
    </font>
    <font>
      <sz val="9"/>
      <color rgb="FF0E101A"/>
      <name val="Arial"/>
      <family val="2"/>
    </font>
    <font>
      <sz val="8"/>
      <color rgb="FF000000"/>
      <name val="Lucida Console"/>
      <family val="3"/>
    </font>
    <font>
      <sz val="12"/>
      <color theme="8"/>
      <name val="Segoe UI"/>
      <family val="2"/>
    </font>
    <font>
      <sz val="12"/>
      <color rgb="FFCC66FF"/>
      <name val="Segoe UI"/>
      <family val="2"/>
    </font>
  </fonts>
  <fills count="40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3F3F3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/>
        <bgColor rgb="FFCFE2F3"/>
      </patternFill>
    </fill>
    <fill>
      <patternFill patternType="solid">
        <fgColor theme="0" tint="-4.9989318521683403E-2"/>
        <bgColor rgb="FFCFE2F3"/>
      </patternFill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892A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31B4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2" fillId="0" borderId="0" xfId="0" applyFont="1" applyAlignment="1">
      <alignment horizontal="center" wrapText="1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6" borderId="3" xfId="0" applyFill="1" applyBorder="1"/>
    <xf numFmtId="165" fontId="0" fillId="6" borderId="0" xfId="0" applyNumberFormat="1" applyFill="1"/>
    <xf numFmtId="0" fontId="1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67" fontId="0" fillId="9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167" fontId="0" fillId="7" borderId="0" xfId="0" applyNumberFormat="1" applyFill="1" applyAlignment="1">
      <alignment horizontal="center"/>
    </xf>
    <xf numFmtId="0" fontId="12" fillId="9" borderId="0" xfId="0" applyFont="1" applyFill="1" applyAlignment="1">
      <alignment horizontal="center"/>
    </xf>
    <xf numFmtId="167" fontId="0" fillId="11" borderId="0" xfId="0" applyNumberForma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15" fillId="12" borderId="0" xfId="0" applyFont="1" applyFill="1" applyAlignment="1">
      <alignment horizontal="center"/>
    </xf>
    <xf numFmtId="0" fontId="13" fillId="12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17" fillId="14" borderId="0" xfId="0" applyFont="1" applyFill="1" applyAlignment="1">
      <alignment horizontal="center"/>
    </xf>
    <xf numFmtId="167" fontId="17" fillId="14" borderId="0" xfId="0" applyNumberFormat="1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8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2" fontId="19" fillId="5" borderId="0" xfId="0" applyNumberFormat="1" applyFont="1" applyFill="1" applyAlignment="1">
      <alignment horizontal="center"/>
    </xf>
    <xf numFmtId="0" fontId="0" fillId="15" borderId="0" xfId="0" applyFill="1" applyAlignment="1">
      <alignment horizontal="center"/>
    </xf>
    <xf numFmtId="0" fontId="20" fillId="8" borderId="0" xfId="0" applyFont="1" applyFill="1" applyAlignment="1">
      <alignment horizontal="center"/>
    </xf>
    <xf numFmtId="0" fontId="21" fillId="15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4" fillId="16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14" fillId="17" borderId="0" xfId="0" applyFont="1" applyFill="1" applyAlignment="1">
      <alignment horizontal="center"/>
    </xf>
    <xf numFmtId="167" fontId="0" fillId="15" borderId="0" xfId="0" applyNumberForma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22" fillId="10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0" fontId="21" fillId="11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20" fillId="13" borderId="0" xfId="0" applyFont="1" applyFill="1" applyAlignment="1">
      <alignment horizontal="center"/>
    </xf>
    <xf numFmtId="0" fontId="23" fillId="13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20" fillId="10" borderId="0" xfId="0" applyFont="1" applyFill="1" applyAlignment="1">
      <alignment horizontal="center"/>
    </xf>
    <xf numFmtId="0" fontId="23" fillId="10" borderId="0" xfId="0" applyFont="1" applyFill="1" applyAlignment="1">
      <alignment horizontal="center"/>
    </xf>
    <xf numFmtId="0" fontId="24" fillId="13" borderId="0" xfId="0" applyFont="1" applyFill="1" applyAlignment="1">
      <alignment horizontal="center"/>
    </xf>
    <xf numFmtId="0" fontId="24" fillId="9" borderId="0" xfId="0" applyFont="1" applyFill="1" applyAlignment="1">
      <alignment horizontal="center"/>
    </xf>
    <xf numFmtId="0" fontId="0" fillId="19" borderId="0" xfId="0" applyFill="1"/>
    <xf numFmtId="0" fontId="0" fillId="20" borderId="0" xfId="0" applyFill="1"/>
    <xf numFmtId="0" fontId="0" fillId="21" borderId="0" xfId="0" applyFill="1"/>
    <xf numFmtId="11" fontId="0" fillId="22" borderId="5" xfId="0" applyNumberFormat="1" applyFill="1" applyBorder="1"/>
    <xf numFmtId="11" fontId="0" fillId="22" borderId="6" xfId="0" applyNumberFormat="1" applyFill="1" applyBorder="1"/>
    <xf numFmtId="11" fontId="0" fillId="22" borderId="7" xfId="0" applyNumberFormat="1" applyFill="1" applyBorder="1"/>
    <xf numFmtId="0" fontId="25" fillId="12" borderId="9" xfId="0" applyFont="1" applyFill="1" applyBorder="1" applyAlignment="1">
      <alignment horizontal="center" vertical="center"/>
    </xf>
    <xf numFmtId="0" fontId="25" fillId="12" borderId="11" xfId="0" applyFont="1" applyFill="1" applyBorder="1" applyAlignment="1">
      <alignment horizontal="center" vertical="center"/>
    </xf>
    <xf numFmtId="0" fontId="26" fillId="12" borderId="10" xfId="0" applyFont="1" applyFill="1" applyBorder="1" applyAlignment="1">
      <alignment horizontal="center" vertical="center"/>
    </xf>
    <xf numFmtId="0" fontId="25" fillId="12" borderId="0" xfId="0" applyFont="1" applyFill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0" fillId="12" borderId="0" xfId="0" applyFill="1"/>
    <xf numFmtId="0" fontId="25" fillId="23" borderId="5" xfId="0" applyFont="1" applyFill="1" applyBorder="1" applyAlignment="1">
      <alignment horizontal="center" vertical="center"/>
    </xf>
    <xf numFmtId="0" fontId="0" fillId="23" borderId="5" xfId="0" applyFill="1" applyBorder="1"/>
    <xf numFmtId="0" fontId="25" fillId="23" borderId="12" xfId="0" applyFont="1" applyFill="1" applyBorder="1" applyAlignment="1">
      <alignment horizontal="center" vertical="center"/>
    </xf>
    <xf numFmtId="0" fontId="25" fillId="23" borderId="4" xfId="0" applyFont="1" applyFill="1" applyBorder="1" applyAlignment="1">
      <alignment horizontal="center" vertical="center"/>
    </xf>
    <xf numFmtId="0" fontId="25" fillId="23" borderId="6" xfId="0" applyFont="1" applyFill="1" applyBorder="1" applyAlignment="1">
      <alignment horizontal="center" vertical="center"/>
    </xf>
    <xf numFmtId="0" fontId="25" fillId="23" borderId="3" xfId="0" applyFont="1" applyFill="1" applyBorder="1" applyAlignment="1">
      <alignment horizontal="center" vertical="center"/>
    </xf>
    <xf numFmtId="0" fontId="25" fillId="24" borderId="8" xfId="0" applyFont="1" applyFill="1" applyBorder="1" applyAlignment="1">
      <alignment horizontal="center" vertical="center"/>
    </xf>
    <xf numFmtId="11" fontId="25" fillId="24" borderId="7" xfId="0" applyNumberFormat="1" applyFont="1" applyFill="1" applyBorder="1" applyAlignment="1">
      <alignment horizontal="center" vertical="center"/>
    </xf>
    <xf numFmtId="0" fontId="25" fillId="24" borderId="13" xfId="0" applyFont="1" applyFill="1" applyBorder="1" applyAlignment="1">
      <alignment horizontal="center" vertical="center"/>
    </xf>
    <xf numFmtId="2" fontId="0" fillId="26" borderId="5" xfId="0" applyNumberFormat="1" applyFill="1" applyBorder="1"/>
    <xf numFmtId="2" fontId="0" fillId="26" borderId="6" xfId="0" applyNumberFormat="1" applyFill="1" applyBorder="1"/>
    <xf numFmtId="2" fontId="0" fillId="26" borderId="7" xfId="0" applyNumberFormat="1" applyFill="1" applyBorder="1"/>
    <xf numFmtId="0" fontId="8" fillId="25" borderId="1" xfId="0" applyFont="1" applyFill="1" applyBorder="1" applyAlignment="1" applyProtection="1">
      <alignment horizontal="center" vertical="center"/>
      <protection locked="0"/>
    </xf>
    <xf numFmtId="0" fontId="28" fillId="25" borderId="1" xfId="0" applyFont="1" applyFill="1" applyBorder="1" applyAlignment="1">
      <alignment horizontal="center" vertical="center" wrapText="1"/>
    </xf>
    <xf numFmtId="0" fontId="0" fillId="27" borderId="0" xfId="0" applyFill="1"/>
    <xf numFmtId="0" fontId="7" fillId="27" borderId="1" xfId="0" applyFont="1" applyFill="1" applyBorder="1" applyAlignment="1">
      <alignment horizontal="center" vertical="center"/>
    </xf>
    <xf numFmtId="0" fontId="1" fillId="27" borderId="0" xfId="0" applyFont="1" applyFill="1"/>
    <xf numFmtId="2" fontId="29" fillId="0" borderId="0" xfId="0" applyNumberFormat="1" applyFont="1" applyAlignment="1">
      <alignment horizontal="center" vertical="center"/>
    </xf>
    <xf numFmtId="0" fontId="9" fillId="22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0" fillId="30" borderId="0" xfId="0" applyFill="1"/>
    <xf numFmtId="0" fontId="8" fillId="25" borderId="14" xfId="0" applyFont="1" applyFill="1" applyBorder="1" applyAlignment="1" applyProtection="1">
      <alignment horizontal="center" vertical="center"/>
      <protection locked="0"/>
    </xf>
    <xf numFmtId="0" fontId="8" fillId="25" borderId="14" xfId="0" applyFont="1" applyFill="1" applyBorder="1" applyAlignment="1">
      <alignment horizontal="center" vertical="center"/>
    </xf>
    <xf numFmtId="0" fontId="8" fillId="25" borderId="16" xfId="0" applyFont="1" applyFill="1" applyBorder="1" applyAlignment="1" applyProtection="1">
      <alignment horizontal="center" vertical="center"/>
      <protection locked="0"/>
    </xf>
    <xf numFmtId="0" fontId="9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8" fillId="25" borderId="22" xfId="0" applyFont="1" applyFill="1" applyBorder="1" applyAlignment="1">
      <alignment horizontal="center" vertical="center"/>
    </xf>
    <xf numFmtId="0" fontId="8" fillId="25" borderId="23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8" fillId="25" borderId="22" xfId="0" applyFont="1" applyFill="1" applyBorder="1" applyAlignment="1">
      <alignment horizontal="center" vertical="center" wrapText="1"/>
    </xf>
    <xf numFmtId="0" fontId="28" fillId="25" borderId="23" xfId="0" applyFont="1" applyFill="1" applyBorder="1" applyAlignment="1">
      <alignment horizontal="center" vertical="center" wrapText="1"/>
    </xf>
    <xf numFmtId="0" fontId="28" fillId="25" borderId="24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25" borderId="22" xfId="0" applyFont="1" applyFill="1" applyBorder="1" applyAlignment="1">
      <alignment horizontal="center" vertical="center"/>
    </xf>
    <xf numFmtId="0" fontId="1" fillId="25" borderId="23" xfId="0" applyFont="1" applyFill="1" applyBorder="1" applyAlignment="1">
      <alignment horizontal="center" vertical="center"/>
    </xf>
    <xf numFmtId="0" fontId="1" fillId="25" borderId="2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8" fillId="31" borderId="25" xfId="0" applyFont="1" applyFill="1" applyBorder="1" applyAlignment="1" applyProtection="1">
      <alignment vertical="center"/>
      <protection locked="0"/>
    </xf>
    <xf numFmtId="0" fontId="7" fillId="31" borderId="26" xfId="0" applyFont="1" applyFill="1" applyBorder="1" applyAlignment="1">
      <alignment vertical="center"/>
    </xf>
    <xf numFmtId="0" fontId="7" fillId="31" borderId="27" xfId="0" applyFont="1" applyFill="1" applyBorder="1" applyAlignment="1">
      <alignment horizontal="center" vertical="center"/>
    </xf>
    <xf numFmtId="0" fontId="7" fillId="31" borderId="26" xfId="0" applyFont="1" applyFill="1" applyBorder="1" applyAlignment="1">
      <alignment horizontal="center" vertical="center"/>
    </xf>
    <xf numFmtId="0" fontId="6" fillId="31" borderId="26" xfId="0" applyFont="1" applyFill="1" applyBorder="1" applyAlignment="1">
      <alignment horizontal="center" wrapText="1"/>
    </xf>
    <xf numFmtId="0" fontId="6" fillId="31" borderId="27" xfId="0" applyFont="1" applyFill="1" applyBorder="1" applyAlignment="1">
      <alignment horizontal="center" wrapText="1"/>
    </xf>
    <xf numFmtId="0" fontId="4" fillId="0" borderId="25" xfId="0" applyFont="1" applyBorder="1" applyAlignment="1">
      <alignment horizontal="center" vertical="center"/>
    </xf>
    <xf numFmtId="0" fontId="0" fillId="0" borderId="26" xfId="0" applyBorder="1"/>
    <xf numFmtId="165" fontId="0" fillId="0" borderId="27" xfId="0" applyNumberFormat="1" applyBorder="1"/>
    <xf numFmtId="165" fontId="0" fillId="0" borderId="26" xfId="0" applyNumberFormat="1" applyBorder="1"/>
    <xf numFmtId="0" fontId="2" fillId="0" borderId="2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vertical="center"/>
    </xf>
    <xf numFmtId="0" fontId="0" fillId="0" borderId="29" xfId="0" applyBorder="1"/>
    <xf numFmtId="165" fontId="0" fillId="0" borderId="29" xfId="0" applyNumberFormat="1" applyBorder="1"/>
    <xf numFmtId="0" fontId="2" fillId="0" borderId="29" xfId="0" applyFont="1" applyBorder="1" applyAlignment="1">
      <alignment horizontal="center" wrapText="1"/>
    </xf>
    <xf numFmtId="0" fontId="4" fillId="0" borderId="30" xfId="0" applyFont="1" applyBorder="1" applyAlignment="1">
      <alignment horizontal="center" vertical="center"/>
    </xf>
    <xf numFmtId="0" fontId="0" fillId="0" borderId="31" xfId="0" applyBorder="1"/>
    <xf numFmtId="165" fontId="0" fillId="0" borderId="32" xfId="0" applyNumberFormat="1" applyBorder="1"/>
    <xf numFmtId="165" fontId="0" fillId="0" borderId="31" xfId="0" applyNumberFormat="1" applyBorder="1"/>
    <xf numFmtId="0" fontId="2" fillId="0" borderId="31" xfId="0" applyFont="1" applyBorder="1" applyAlignment="1">
      <alignment horizontal="center" wrapText="1"/>
    </xf>
    <xf numFmtId="0" fontId="2" fillId="0" borderId="32" xfId="0" applyFont="1" applyBorder="1" applyAlignment="1">
      <alignment horizontal="center" wrapText="1"/>
    </xf>
    <xf numFmtId="0" fontId="8" fillId="3" borderId="33" xfId="0" applyFont="1" applyFill="1" applyBorder="1" applyAlignment="1" applyProtection="1">
      <alignment vertical="center"/>
      <protection locked="0"/>
    </xf>
    <xf numFmtId="0" fontId="8" fillId="3" borderId="34" xfId="0" applyFont="1" applyFill="1" applyBorder="1" applyAlignment="1" applyProtection="1">
      <alignment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6" fillId="2" borderId="34" xfId="0" applyFont="1" applyFill="1" applyBorder="1" applyAlignment="1">
      <alignment horizontal="center" wrapText="1"/>
    </xf>
    <xf numFmtId="0" fontId="6" fillId="2" borderId="33" xfId="0" applyFont="1" applyFill="1" applyBorder="1" applyAlignment="1">
      <alignment horizontal="center" wrapText="1"/>
    </xf>
    <xf numFmtId="0" fontId="6" fillId="2" borderId="35" xfId="0" applyFont="1" applyFill="1" applyBorder="1" applyAlignment="1">
      <alignment horizontal="center" wrapText="1"/>
    </xf>
    <xf numFmtId="0" fontId="4" fillId="0" borderId="29" xfId="0" applyFont="1" applyBorder="1" applyAlignment="1">
      <alignment horizontal="center" vertical="center"/>
    </xf>
    <xf numFmtId="165" fontId="0" fillId="0" borderId="36" xfId="0" applyNumberFormat="1" applyBorder="1"/>
    <xf numFmtId="0" fontId="4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165" fontId="0" fillId="0" borderId="37" xfId="0" applyNumberFormat="1" applyBorder="1"/>
    <xf numFmtId="0" fontId="4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165" fontId="0" fillId="0" borderId="38" xfId="0" applyNumberFormat="1" applyBorder="1"/>
    <xf numFmtId="0" fontId="7" fillId="31" borderId="25" xfId="0" applyFont="1" applyFill="1" applyBorder="1" applyAlignment="1">
      <alignment vertical="center"/>
    </xf>
    <xf numFmtId="0" fontId="6" fillId="31" borderId="37" xfId="0" applyFont="1" applyFill="1" applyBorder="1" applyAlignment="1">
      <alignment horizontal="center" wrapText="1"/>
    </xf>
    <xf numFmtId="0" fontId="5" fillId="0" borderId="25" xfId="0" applyFont="1" applyBorder="1" applyAlignment="1">
      <alignment horizontal="center" vertical="center"/>
    </xf>
    <xf numFmtId="0" fontId="0" fillId="0" borderId="25" xfId="0" applyBorder="1"/>
    <xf numFmtId="0" fontId="2" fillId="0" borderId="27" xfId="0" applyFont="1" applyBorder="1" applyAlignment="1">
      <alignment horizontal="right" wrapText="1"/>
    </xf>
    <xf numFmtId="0" fontId="2" fillId="0" borderId="26" xfId="0" applyFont="1" applyBorder="1" applyAlignment="1">
      <alignment horizontal="right" wrapText="1"/>
    </xf>
    <xf numFmtId="0" fontId="2" fillId="0" borderId="37" xfId="0" applyFont="1" applyBorder="1" applyAlignment="1">
      <alignment horizontal="right" wrapText="1"/>
    </xf>
    <xf numFmtId="0" fontId="5" fillId="0" borderId="28" xfId="0" applyFont="1" applyBorder="1" applyAlignment="1">
      <alignment horizontal="center" vertical="center"/>
    </xf>
    <xf numFmtId="0" fontId="0" fillId="0" borderId="28" xfId="0" applyBorder="1"/>
    <xf numFmtId="0" fontId="2" fillId="0" borderId="0" xfId="0" applyFont="1" applyAlignment="1">
      <alignment horizontal="right" wrapText="1"/>
    </xf>
    <xf numFmtId="0" fontId="2" fillId="0" borderId="29" xfId="0" applyFont="1" applyBorder="1" applyAlignment="1">
      <alignment horizontal="right" wrapText="1"/>
    </xf>
    <xf numFmtId="0" fontId="2" fillId="0" borderId="36" xfId="0" applyFont="1" applyBorder="1" applyAlignment="1">
      <alignment horizontal="right" wrapText="1"/>
    </xf>
    <xf numFmtId="0" fontId="5" fillId="0" borderId="30" xfId="0" applyFont="1" applyBorder="1" applyAlignment="1">
      <alignment horizontal="center" vertical="center"/>
    </xf>
    <xf numFmtId="0" fontId="0" fillId="0" borderId="30" xfId="0" applyBorder="1"/>
    <xf numFmtId="0" fontId="2" fillId="0" borderId="32" xfId="0" applyFont="1" applyBorder="1" applyAlignment="1">
      <alignment horizontal="right" wrapText="1"/>
    </xf>
    <xf numFmtId="0" fontId="2" fillId="0" borderId="31" xfId="0" applyFont="1" applyBorder="1" applyAlignment="1">
      <alignment horizontal="right" wrapText="1"/>
    </xf>
    <xf numFmtId="0" fontId="2" fillId="0" borderId="38" xfId="0" applyFont="1" applyBorder="1" applyAlignment="1">
      <alignment horizontal="right" wrapText="1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8" fillId="25" borderId="25" xfId="0" applyFont="1" applyFill="1" applyBorder="1" applyAlignment="1" applyProtection="1">
      <alignment horizontal="center" vertical="center"/>
      <protection locked="0"/>
    </xf>
    <xf numFmtId="0" fontId="8" fillId="25" borderId="26" xfId="0" applyFont="1" applyFill="1" applyBorder="1" applyAlignment="1" applyProtection="1">
      <alignment horizontal="center" vertical="center"/>
      <protection locked="0"/>
    </xf>
    <xf numFmtId="0" fontId="8" fillId="25" borderId="27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27" xfId="0" applyBorder="1"/>
    <xf numFmtId="0" fontId="9" fillId="0" borderId="29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0" fillId="0" borderId="32" xfId="0" applyBorder="1"/>
    <xf numFmtId="0" fontId="10" fillId="0" borderId="29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" fillId="0" borderId="0" xfId="0" applyFont="1"/>
    <xf numFmtId="0" fontId="2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8" fillId="25" borderId="0" xfId="0" applyFont="1" applyFill="1" applyAlignment="1" applyProtection="1">
      <alignment horizontal="center" vertical="center"/>
      <protection locked="0"/>
    </xf>
    <xf numFmtId="0" fontId="29" fillId="28" borderId="39" xfId="0" applyFont="1" applyFill="1" applyBorder="1" applyAlignment="1" applyProtection="1">
      <alignment horizontal="center" vertical="center"/>
      <protection locked="0"/>
    </xf>
    <xf numFmtId="0" fontId="29" fillId="28" borderId="33" xfId="0" applyFont="1" applyFill="1" applyBorder="1" applyAlignment="1" applyProtection="1">
      <alignment horizontal="center" vertical="center"/>
      <protection locked="0"/>
    </xf>
    <xf numFmtId="0" fontId="29" fillId="28" borderId="35" xfId="0" applyFont="1" applyFill="1" applyBorder="1" applyAlignment="1" applyProtection="1">
      <alignment horizontal="center" vertical="center"/>
      <protection locked="0"/>
    </xf>
    <xf numFmtId="0" fontId="29" fillId="25" borderId="28" xfId="0" applyFont="1" applyFill="1" applyBorder="1" applyAlignment="1">
      <alignment horizontal="center" vertical="center"/>
    </xf>
    <xf numFmtId="0" fontId="5" fillId="29" borderId="28" xfId="0" applyFont="1" applyFill="1" applyBorder="1" applyAlignment="1">
      <alignment horizontal="center" vertical="center"/>
    </xf>
    <xf numFmtId="0" fontId="9" fillId="29" borderId="28" xfId="0" applyFont="1" applyFill="1" applyBorder="1" applyAlignment="1">
      <alignment horizontal="center" vertical="center"/>
    </xf>
    <xf numFmtId="0" fontId="0" fillId="29" borderId="29" xfId="0" applyFill="1" applyBorder="1" applyAlignment="1">
      <alignment horizontal="center"/>
    </xf>
    <xf numFmtId="11" fontId="0" fillId="22" borderId="36" xfId="0" applyNumberFormat="1" applyFill="1" applyBorder="1"/>
    <xf numFmtId="0" fontId="10" fillId="29" borderId="28" xfId="0" applyFont="1" applyFill="1" applyBorder="1" applyAlignment="1">
      <alignment horizontal="center" vertical="center"/>
    </xf>
    <xf numFmtId="0" fontId="4" fillId="22" borderId="28" xfId="0" applyFont="1" applyFill="1" applyBorder="1" applyAlignment="1">
      <alignment horizontal="center" vertical="center"/>
    </xf>
    <xf numFmtId="0" fontId="9" fillId="22" borderId="28" xfId="0" applyFont="1" applyFill="1" applyBorder="1" applyAlignment="1">
      <alignment horizontal="center" vertical="center"/>
    </xf>
    <xf numFmtId="0" fontId="0" fillId="22" borderId="29" xfId="0" applyFill="1" applyBorder="1" applyAlignment="1">
      <alignment horizontal="center"/>
    </xf>
    <xf numFmtId="0" fontId="10" fillId="22" borderId="28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0" fillId="5" borderId="29" xfId="0" applyFill="1" applyBorder="1" applyAlignment="1">
      <alignment horizontal="center"/>
    </xf>
    <xf numFmtId="0" fontId="10" fillId="5" borderId="28" xfId="0" applyFont="1" applyFill="1" applyBorder="1" applyAlignment="1">
      <alignment horizontal="center" vertical="center"/>
    </xf>
    <xf numFmtId="0" fontId="29" fillId="28" borderId="25" xfId="0" applyFont="1" applyFill="1" applyBorder="1" applyAlignment="1" applyProtection="1">
      <alignment horizontal="center" vertical="center"/>
      <protection locked="0"/>
    </xf>
    <xf numFmtId="0" fontId="29" fillId="28" borderId="26" xfId="0" applyFont="1" applyFill="1" applyBorder="1" applyAlignment="1" applyProtection="1">
      <alignment horizontal="center" vertical="center"/>
      <protection locked="0"/>
    </xf>
    <xf numFmtId="0" fontId="29" fillId="28" borderId="27" xfId="0" applyFont="1" applyFill="1" applyBorder="1" applyAlignment="1" applyProtection="1">
      <alignment horizontal="center" vertical="center"/>
      <protection locked="0"/>
    </xf>
    <xf numFmtId="0" fontId="29" fillId="28" borderId="37" xfId="0" applyFont="1" applyFill="1" applyBorder="1" applyAlignment="1" applyProtection="1">
      <alignment horizontal="center" vertical="center"/>
      <protection locked="0"/>
    </xf>
    <xf numFmtId="0" fontId="4" fillId="22" borderId="29" xfId="0" applyFont="1" applyFill="1" applyBorder="1" applyAlignment="1">
      <alignment horizontal="center" vertical="center"/>
    </xf>
    <xf numFmtId="0" fontId="29" fillId="25" borderId="30" xfId="0" applyFont="1" applyFill="1" applyBorder="1" applyAlignment="1">
      <alignment horizontal="center" vertical="center"/>
    </xf>
    <xf numFmtId="0" fontId="4" fillId="22" borderId="31" xfId="0" applyFont="1" applyFill="1" applyBorder="1" applyAlignment="1">
      <alignment horizontal="center" vertical="center"/>
    </xf>
    <xf numFmtId="0" fontId="10" fillId="22" borderId="32" xfId="0" applyFont="1" applyFill="1" applyBorder="1" applyAlignment="1">
      <alignment horizontal="center" vertical="center"/>
    </xf>
    <xf numFmtId="0" fontId="0" fillId="22" borderId="31" xfId="0" applyFill="1" applyBorder="1" applyAlignment="1">
      <alignment horizontal="center"/>
    </xf>
    <xf numFmtId="11" fontId="0" fillId="22" borderId="38" xfId="0" applyNumberFormat="1" applyFill="1" applyBorder="1"/>
    <xf numFmtId="0" fontId="29" fillId="31" borderId="25" xfId="0" applyFont="1" applyFill="1" applyBorder="1" applyAlignment="1" applyProtection="1">
      <alignment horizontal="center" vertical="center"/>
      <protection locked="0"/>
    </xf>
    <xf numFmtId="0" fontId="29" fillId="31" borderId="25" xfId="0" applyFont="1" applyFill="1" applyBorder="1" applyAlignment="1">
      <alignment horizontal="center" vertical="center"/>
    </xf>
    <xf numFmtId="0" fontId="4" fillId="22" borderId="25" xfId="0" applyFont="1" applyFill="1" applyBorder="1" applyAlignment="1">
      <alignment horizontal="center" vertical="center"/>
    </xf>
    <xf numFmtId="0" fontId="9" fillId="22" borderId="26" xfId="0" applyFont="1" applyFill="1" applyBorder="1" applyAlignment="1">
      <alignment horizontal="center" vertical="center"/>
    </xf>
    <xf numFmtId="11" fontId="0" fillId="22" borderId="37" xfId="0" applyNumberFormat="1" applyFill="1" applyBorder="1"/>
    <xf numFmtId="0" fontId="29" fillId="31" borderId="28" xfId="0" applyFont="1" applyFill="1" applyBorder="1" applyAlignment="1">
      <alignment horizontal="center" vertical="center"/>
    </xf>
    <xf numFmtId="0" fontId="9" fillId="22" borderId="29" xfId="0" applyFont="1" applyFill="1" applyBorder="1" applyAlignment="1">
      <alignment horizontal="center" vertical="center"/>
    </xf>
    <xf numFmtId="0" fontId="10" fillId="22" borderId="26" xfId="0" applyFont="1" applyFill="1" applyBorder="1" applyAlignment="1">
      <alignment horizontal="center" vertical="center"/>
    </xf>
    <xf numFmtId="0" fontId="10" fillId="22" borderId="29" xfId="0" applyFont="1" applyFill="1" applyBorder="1" applyAlignment="1">
      <alignment horizontal="center" vertical="center"/>
    </xf>
    <xf numFmtId="0" fontId="29" fillId="31" borderId="30" xfId="0" applyFont="1" applyFill="1" applyBorder="1" applyAlignment="1">
      <alignment horizontal="center" vertical="center"/>
    </xf>
    <xf numFmtId="0" fontId="4" fillId="22" borderId="30" xfId="0" applyFont="1" applyFill="1" applyBorder="1" applyAlignment="1">
      <alignment horizontal="center" vertical="center"/>
    </xf>
    <xf numFmtId="0" fontId="9" fillId="22" borderId="31" xfId="0" applyFont="1" applyFill="1" applyBorder="1" applyAlignment="1">
      <alignment horizontal="center" vertical="center"/>
    </xf>
    <xf numFmtId="0" fontId="10" fillId="22" borderId="31" xfId="0" applyFont="1" applyFill="1" applyBorder="1" applyAlignment="1">
      <alignment horizontal="center" vertical="center"/>
    </xf>
    <xf numFmtId="0" fontId="0" fillId="32" borderId="0" xfId="0" applyFill="1"/>
    <xf numFmtId="0" fontId="0" fillId="33" borderId="0" xfId="0" applyFill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0" fillId="0" borderId="35" xfId="0" applyBorder="1"/>
    <xf numFmtId="0" fontId="0" fillId="0" borderId="33" xfId="0" applyBorder="1"/>
    <xf numFmtId="0" fontId="0" fillId="0" borderId="35" xfId="0" applyBorder="1" applyAlignment="1">
      <alignment horizontal="center"/>
    </xf>
    <xf numFmtId="0" fontId="33" fillId="0" borderId="0" xfId="0" applyFont="1"/>
    <xf numFmtId="0" fontId="0" fillId="34" borderId="0" xfId="0" applyFill="1"/>
    <xf numFmtId="0" fontId="0" fillId="22" borderId="0" xfId="0" applyFill="1"/>
    <xf numFmtId="0" fontId="34" fillId="0" borderId="0" xfId="0" applyFont="1" applyAlignment="1">
      <alignment wrapText="1"/>
    </xf>
    <xf numFmtId="0" fontId="0" fillId="35" borderId="0" xfId="0" applyFill="1"/>
    <xf numFmtId="0" fontId="0" fillId="36" borderId="0" xfId="0" applyFill="1"/>
    <xf numFmtId="0" fontId="35" fillId="5" borderId="25" xfId="0" applyFont="1" applyFill="1" applyBorder="1" applyAlignment="1">
      <alignment horizontal="center" vertical="center"/>
    </xf>
    <xf numFmtId="0" fontId="35" fillId="5" borderId="28" xfId="0" applyFont="1" applyFill="1" applyBorder="1" applyAlignment="1">
      <alignment horizontal="center" vertical="center"/>
    </xf>
    <xf numFmtId="0" fontId="35" fillId="5" borderId="30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right" wrapText="1"/>
    </xf>
    <xf numFmtId="2" fontId="2" fillId="0" borderId="32" xfId="0" applyNumberFormat="1" applyFont="1" applyBorder="1" applyAlignment="1">
      <alignment horizontal="right" wrapText="1"/>
    </xf>
    <xf numFmtId="2" fontId="2" fillId="0" borderId="31" xfId="0" applyNumberFormat="1" applyFont="1" applyBorder="1" applyAlignment="1">
      <alignment horizontal="right" wrapText="1"/>
    </xf>
    <xf numFmtId="2" fontId="2" fillId="0" borderId="36" xfId="0" applyNumberFormat="1" applyFont="1" applyBorder="1" applyAlignment="1">
      <alignment horizontal="right" wrapText="1"/>
    </xf>
    <xf numFmtId="2" fontId="2" fillId="0" borderId="38" xfId="0" applyNumberFormat="1" applyFont="1" applyBorder="1" applyAlignment="1">
      <alignment horizontal="right" wrapText="1"/>
    </xf>
    <xf numFmtId="2" fontId="2" fillId="0" borderId="29" xfId="0" applyNumberFormat="1" applyFont="1" applyBorder="1" applyAlignment="1">
      <alignment horizontal="right" wrapText="1"/>
    </xf>
    <xf numFmtId="0" fontId="7" fillId="31" borderId="33" xfId="0" applyFont="1" applyFill="1" applyBorder="1" applyAlignment="1">
      <alignment horizontal="center" vertical="center"/>
    </xf>
    <xf numFmtId="0" fontId="7" fillId="31" borderId="34" xfId="0" applyFont="1" applyFill="1" applyBorder="1" applyAlignment="1">
      <alignment horizontal="center" vertical="center"/>
    </xf>
    <xf numFmtId="0" fontId="6" fillId="31" borderId="34" xfId="0" applyFont="1" applyFill="1" applyBorder="1" applyAlignment="1">
      <alignment horizontal="center" wrapText="1"/>
    </xf>
    <xf numFmtId="0" fontId="6" fillId="31" borderId="33" xfId="0" applyFont="1" applyFill="1" applyBorder="1" applyAlignment="1">
      <alignment horizontal="center" wrapText="1"/>
    </xf>
    <xf numFmtId="0" fontId="6" fillId="31" borderId="35" xfId="0" applyFont="1" applyFill="1" applyBorder="1" applyAlignment="1">
      <alignment horizontal="center" wrapText="1"/>
    </xf>
    <xf numFmtId="0" fontId="8" fillId="25" borderId="39" xfId="0" applyFont="1" applyFill="1" applyBorder="1" applyAlignment="1" applyProtection="1">
      <alignment horizontal="center" vertical="center"/>
      <protection locked="0"/>
    </xf>
    <xf numFmtId="0" fontId="8" fillId="25" borderId="33" xfId="0" applyFont="1" applyFill="1" applyBorder="1" applyAlignment="1" applyProtection="1">
      <alignment horizontal="center" vertical="center"/>
      <protection locked="0"/>
    </xf>
    <xf numFmtId="0" fontId="0" fillId="6" borderId="0" xfId="0" applyFill="1"/>
    <xf numFmtId="0" fontId="36" fillId="37" borderId="0" xfId="0" applyFont="1" applyFill="1"/>
    <xf numFmtId="0" fontId="28" fillId="25" borderId="40" xfId="0" applyFont="1" applyFill="1" applyBorder="1" applyAlignment="1">
      <alignment horizontal="center" vertical="center" wrapText="1"/>
    </xf>
    <xf numFmtId="0" fontId="8" fillId="25" borderId="41" xfId="0" applyFont="1" applyFill="1" applyBorder="1" applyAlignment="1">
      <alignment horizontal="center" vertical="center"/>
    </xf>
    <xf numFmtId="2" fontId="2" fillId="0" borderId="25" xfId="0" applyNumberFormat="1" applyFont="1" applyBorder="1" applyAlignment="1">
      <alignment horizontal="right" wrapText="1"/>
    </xf>
    <xf numFmtId="2" fontId="2" fillId="0" borderId="26" xfId="0" applyNumberFormat="1" applyFont="1" applyBorder="1" applyAlignment="1">
      <alignment horizontal="right" wrapText="1"/>
    </xf>
    <xf numFmtId="2" fontId="2" fillId="0" borderId="27" xfId="0" applyNumberFormat="1" applyFont="1" applyBorder="1" applyAlignment="1">
      <alignment horizontal="right" wrapText="1"/>
    </xf>
    <xf numFmtId="2" fontId="2" fillId="0" borderId="37" xfId="0" applyNumberFormat="1" applyFont="1" applyBorder="1" applyAlignment="1">
      <alignment horizontal="right" wrapText="1"/>
    </xf>
    <xf numFmtId="2" fontId="2" fillId="0" borderId="28" xfId="0" applyNumberFormat="1" applyFont="1" applyBorder="1" applyAlignment="1">
      <alignment horizontal="right" wrapText="1"/>
    </xf>
    <xf numFmtId="2" fontId="2" fillId="0" borderId="30" xfId="0" applyNumberFormat="1" applyFont="1" applyBorder="1" applyAlignment="1">
      <alignment horizontal="right" wrapText="1"/>
    </xf>
    <xf numFmtId="164" fontId="2" fillId="0" borderId="31" xfId="0" applyNumberFormat="1" applyFont="1" applyBorder="1" applyAlignment="1">
      <alignment horizontal="right" wrapText="1"/>
    </xf>
    <xf numFmtId="0" fontId="28" fillId="10" borderId="1" xfId="0" applyFont="1" applyFill="1" applyBorder="1" applyAlignment="1">
      <alignment horizontal="center" vertical="center" wrapText="1"/>
    </xf>
    <xf numFmtId="2" fontId="2" fillId="10" borderId="27" xfId="0" applyNumberFormat="1" applyFont="1" applyFill="1" applyBorder="1" applyAlignment="1">
      <alignment horizontal="right" wrapText="1"/>
    </xf>
    <xf numFmtId="2" fontId="2" fillId="10" borderId="0" xfId="0" applyNumberFormat="1" applyFont="1" applyFill="1" applyAlignment="1">
      <alignment horizontal="right" wrapText="1"/>
    </xf>
    <xf numFmtId="2" fontId="2" fillId="10" borderId="32" xfId="0" applyNumberFormat="1" applyFont="1" applyFill="1" applyBorder="1" applyAlignment="1">
      <alignment horizontal="right" wrapText="1"/>
    </xf>
    <xf numFmtId="2" fontId="2" fillId="10" borderId="26" xfId="0" applyNumberFormat="1" applyFont="1" applyFill="1" applyBorder="1" applyAlignment="1">
      <alignment horizontal="right" wrapText="1"/>
    </xf>
    <xf numFmtId="2" fontId="2" fillId="10" borderId="29" xfId="0" applyNumberFormat="1" applyFont="1" applyFill="1" applyBorder="1" applyAlignment="1">
      <alignment horizontal="right" wrapText="1"/>
    </xf>
    <xf numFmtId="2" fontId="2" fillId="10" borderId="31" xfId="0" applyNumberFormat="1" applyFont="1" applyFill="1" applyBorder="1" applyAlignment="1">
      <alignment horizontal="right" wrapText="1"/>
    </xf>
    <xf numFmtId="2" fontId="2" fillId="10" borderId="37" xfId="0" applyNumberFormat="1" applyFont="1" applyFill="1" applyBorder="1" applyAlignment="1">
      <alignment horizontal="right" wrapText="1"/>
    </xf>
    <xf numFmtId="2" fontId="2" fillId="10" borderId="36" xfId="0" applyNumberFormat="1" applyFont="1" applyFill="1" applyBorder="1" applyAlignment="1">
      <alignment horizontal="right" wrapText="1"/>
    </xf>
    <xf numFmtId="2" fontId="2" fillId="10" borderId="38" xfId="0" applyNumberFormat="1" applyFont="1" applyFill="1" applyBorder="1" applyAlignment="1">
      <alignment horizontal="right" wrapText="1"/>
    </xf>
    <xf numFmtId="0" fontId="37" fillId="18" borderId="0" xfId="0" applyFont="1" applyFill="1" applyAlignment="1">
      <alignment vertical="center" wrapText="1"/>
    </xf>
    <xf numFmtId="0" fontId="38" fillId="0" borderId="0" xfId="0" applyFont="1"/>
    <xf numFmtId="0" fontId="0" fillId="0" borderId="1" xfId="0" applyBorder="1" applyAlignment="1">
      <alignment vertical="center" wrapText="1"/>
    </xf>
    <xf numFmtId="168" fontId="0" fillId="0" borderId="1" xfId="0" applyNumberFormat="1" applyBorder="1" applyAlignment="1">
      <alignment horizontal="right" vertical="center" wrapText="1" indent="1"/>
    </xf>
    <xf numFmtId="0" fontId="0" fillId="0" borderId="1" xfId="0" applyBorder="1"/>
    <xf numFmtId="0" fontId="0" fillId="0" borderId="6" xfId="0" applyBorder="1" applyAlignment="1">
      <alignment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horizontal="left" vertical="center" wrapText="1" indent="1"/>
    </xf>
    <xf numFmtId="11" fontId="0" fillId="0" borderId="0" xfId="0" applyNumberFormat="1" applyAlignment="1">
      <alignment horizontal="left" vertical="center" wrapText="1" indent="1"/>
    </xf>
    <xf numFmtId="170" fontId="0" fillId="0" borderId="1" xfId="0" applyNumberFormat="1" applyBorder="1" applyAlignment="1">
      <alignment horizontal="right" vertical="center" wrapText="1" indent="1"/>
    </xf>
    <xf numFmtId="0" fontId="0" fillId="0" borderId="6" xfId="0" applyBorder="1"/>
    <xf numFmtId="171" fontId="0" fillId="0" borderId="0" xfId="0" applyNumberFormat="1"/>
    <xf numFmtId="11" fontId="0" fillId="0" borderId="1" xfId="0" applyNumberFormat="1" applyBorder="1" applyAlignment="1">
      <alignment horizontal="right" vertical="center" wrapText="1" indent="1"/>
    </xf>
    <xf numFmtId="0" fontId="40" fillId="0" borderId="0" xfId="0" applyFont="1" applyAlignment="1">
      <alignment vertical="center"/>
    </xf>
    <xf numFmtId="0" fontId="40" fillId="18" borderId="0" xfId="0" applyFont="1" applyFill="1" applyAlignment="1">
      <alignment vertical="center"/>
    </xf>
    <xf numFmtId="0" fontId="8" fillId="25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/>
    </xf>
    <xf numFmtId="2" fontId="0" fillId="0" borderId="1" xfId="0" applyNumberFormat="1" applyBorder="1" applyAlignment="1">
      <alignment horizontal="center"/>
    </xf>
    <xf numFmtId="0" fontId="1" fillId="25" borderId="1" xfId="0" applyFont="1" applyFill="1" applyBorder="1"/>
    <xf numFmtId="0" fontId="31" fillId="25" borderId="1" xfId="0" applyFont="1" applyFill="1" applyBorder="1" applyAlignment="1">
      <alignment horizontal="left" vertical="center" wrapText="1"/>
    </xf>
    <xf numFmtId="0" fontId="30" fillId="38" borderId="1" xfId="0" applyFont="1" applyFill="1" applyBorder="1" applyAlignment="1">
      <alignment horizontal="left" vertical="center" wrapText="1"/>
    </xf>
    <xf numFmtId="0" fontId="30" fillId="33" borderId="1" xfId="0" applyFont="1" applyFill="1" applyBorder="1" applyAlignment="1">
      <alignment horizontal="left" vertical="center" wrapText="1"/>
    </xf>
    <xf numFmtId="0" fontId="30" fillId="27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0" fontId="30" fillId="3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FF"/>
      <color rgb="FFF892A3"/>
      <color rgb="FFE31B47"/>
      <color rgb="FFFFCC66"/>
      <color rgb="FF14B885"/>
      <color rgb="FF00CC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142875</xdr:colOff>
      <xdr:row>1</xdr:row>
      <xdr:rowOff>66675</xdr:rowOff>
    </xdr:from>
    <xdr:ext cx="696408" cy="3027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SpPr txBox="1"/>
          </xdr:nvSpPr>
          <xdr:spPr>
            <a:xfrm>
              <a:off x="11563350" y="257175"/>
              <a:ext cx="696408" cy="302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𝑐𝑡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num>
                          <m:den>
                            <m:eqArr>
                              <m:eqArr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eqArr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</m:e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</m:eqArr>
                          </m:den>
                        </m:f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CuadroTexto 1"/>
            <xdr:cNvSpPr txBox="1"/>
          </xdr:nvSpPr>
          <xdr:spPr>
            <a:xfrm>
              <a:off x="11563350" y="257175"/>
              <a:ext cx="696408" cy="302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𝑥=〖10〗^((𝑐𝑡−𝑏)/█(−@𝑚))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142875</xdr:colOff>
      <xdr:row>1</xdr:row>
      <xdr:rowOff>66675</xdr:rowOff>
    </xdr:from>
    <xdr:ext cx="696408" cy="3027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  <a:ext uri="{147F2762-F138-4A5C-976F-8EAC2B608ADB}">
                  <a16:predDERef xmlns:a16="http://schemas.microsoft.com/office/drawing/2014/main" pred="{00000000-0008-0000-0100-000002000000}"/>
                </a:ext>
              </a:extLst>
            </xdr:cNvPr>
            <xdr:cNvSpPr txBox="1"/>
          </xdr:nvSpPr>
          <xdr:spPr>
            <a:xfrm>
              <a:off x="8496300" y="257175"/>
              <a:ext cx="696408" cy="302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f>
                          <m:f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𝑐𝑡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𝑏</m:t>
                            </m:r>
                          </m:num>
                          <m:den>
                            <m:eqArr>
                              <m:eqArrPr>
                                <m:ctrlP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</m:ctrlPr>
                              </m:eqArrPr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</m:e>
                              <m:e>
                                <m:r>
                                  <a:rPr lang="es-ES" sz="1100" b="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</m:e>
                            </m:eqArr>
                          </m:den>
                        </m:f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CuadroTexto 3"/>
            <xdr:cNvSpPr txBox="1"/>
          </xdr:nvSpPr>
          <xdr:spPr>
            <a:xfrm>
              <a:off x="8496300" y="257175"/>
              <a:ext cx="696408" cy="3027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𝑥=〖10〗^((𝑐𝑡−𝑏)/█(−@𝑚))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1028700</xdr:colOff>
      <xdr:row>0</xdr:row>
      <xdr:rowOff>190500</xdr:rowOff>
    </xdr:from>
    <xdr:ext cx="5454815" cy="762000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15425" y="190500"/>
          <a:ext cx="5454815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workbookViewId="0">
      <selection activeCell="K24" sqref="K24"/>
    </sheetView>
  </sheetViews>
  <sheetFormatPr defaultColWidth="11.42578125" defaultRowHeight="15" x14ac:dyDescent="0.25"/>
  <sheetData>
    <row r="1" spans="1:8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</row>
    <row r="2" spans="1:8" x14ac:dyDescent="0.25">
      <c r="A2" s="13">
        <v>1</v>
      </c>
      <c r="B2" s="14" t="s">
        <v>8</v>
      </c>
      <c r="C2" s="15" t="s">
        <v>9</v>
      </c>
      <c r="D2" s="16" t="s">
        <v>10</v>
      </c>
      <c r="E2" s="17" t="s">
        <v>11</v>
      </c>
      <c r="F2" s="18">
        <v>273.7</v>
      </c>
      <c r="G2" s="13">
        <v>2.04</v>
      </c>
      <c r="H2" s="13">
        <v>1.3</v>
      </c>
    </row>
    <row r="3" spans="1:8" x14ac:dyDescent="0.25">
      <c r="A3" s="13">
        <v>2</v>
      </c>
      <c r="B3" s="14" t="s">
        <v>12</v>
      </c>
      <c r="C3" s="15" t="s">
        <v>13</v>
      </c>
      <c r="D3" s="16" t="s">
        <v>10</v>
      </c>
      <c r="E3" s="17" t="s">
        <v>11</v>
      </c>
      <c r="F3" s="18">
        <v>338.7</v>
      </c>
      <c r="G3" s="13">
        <v>2.14</v>
      </c>
      <c r="H3" s="13">
        <v>2.2799999999999998</v>
      </c>
    </row>
    <row r="4" spans="1:8" x14ac:dyDescent="0.25">
      <c r="A4" s="13">
        <v>3</v>
      </c>
      <c r="B4" s="19" t="s">
        <v>14</v>
      </c>
      <c r="C4" s="15" t="s">
        <v>15</v>
      </c>
      <c r="D4" s="16" t="s">
        <v>10</v>
      </c>
      <c r="E4" s="17" t="s">
        <v>11</v>
      </c>
      <c r="F4" s="18">
        <v>256.89999999999998</v>
      </c>
      <c r="G4" s="13">
        <v>2.04</v>
      </c>
      <c r="H4" s="13">
        <v>1.62</v>
      </c>
    </row>
    <row r="5" spans="1:8" x14ac:dyDescent="0.25">
      <c r="A5" s="20">
        <v>4</v>
      </c>
      <c r="B5" s="21" t="s">
        <v>16</v>
      </c>
      <c r="C5" s="22" t="s">
        <v>9</v>
      </c>
      <c r="D5" s="23" t="s">
        <v>10</v>
      </c>
      <c r="E5" s="24" t="s">
        <v>11</v>
      </c>
      <c r="F5" s="25">
        <v>323.10000000000002</v>
      </c>
      <c r="G5" s="26">
        <v>2.0299999999999998</v>
      </c>
      <c r="H5" s="26">
        <v>1.26</v>
      </c>
    </row>
    <row r="6" spans="1:8" x14ac:dyDescent="0.25">
      <c r="A6" s="20">
        <v>5</v>
      </c>
      <c r="B6" s="21" t="s">
        <v>17</v>
      </c>
      <c r="C6" s="22" t="s">
        <v>13</v>
      </c>
      <c r="D6" s="23" t="s">
        <v>10</v>
      </c>
      <c r="E6" s="24" t="s">
        <v>11</v>
      </c>
      <c r="F6" s="25">
        <v>506.5</v>
      </c>
      <c r="G6" s="26">
        <v>2.21</v>
      </c>
      <c r="H6" s="26">
        <v>2.27</v>
      </c>
    </row>
    <row r="7" spans="1:8" x14ac:dyDescent="0.25">
      <c r="A7" s="20">
        <v>6</v>
      </c>
      <c r="B7" s="27" t="s">
        <v>18</v>
      </c>
      <c r="C7" s="22" t="s">
        <v>15</v>
      </c>
      <c r="D7" s="23" t="s">
        <v>10</v>
      </c>
      <c r="E7" s="24" t="s">
        <v>11</v>
      </c>
      <c r="F7" s="25">
        <v>209</v>
      </c>
      <c r="G7" s="26">
        <v>1.22</v>
      </c>
      <c r="H7" s="26">
        <v>0.95</v>
      </c>
    </row>
    <row r="8" spans="1:8" x14ac:dyDescent="0.25">
      <c r="A8" s="13">
        <v>7</v>
      </c>
      <c r="B8" s="14" t="s">
        <v>19</v>
      </c>
      <c r="C8" s="15" t="s">
        <v>9</v>
      </c>
      <c r="D8" s="28" t="s">
        <v>10</v>
      </c>
      <c r="E8" s="17" t="s">
        <v>11</v>
      </c>
      <c r="F8" s="18">
        <v>534.9</v>
      </c>
      <c r="G8" s="13">
        <v>2.0099999999999998</v>
      </c>
      <c r="H8" s="13">
        <v>1.1599999999999999</v>
      </c>
    </row>
    <row r="9" spans="1:8" x14ac:dyDescent="0.25">
      <c r="A9" s="13">
        <v>8</v>
      </c>
      <c r="B9" s="14" t="s">
        <v>20</v>
      </c>
      <c r="C9" s="15" t="s">
        <v>13</v>
      </c>
      <c r="D9" s="28" t="s">
        <v>10</v>
      </c>
      <c r="E9" s="17" t="s">
        <v>11</v>
      </c>
      <c r="F9" s="18">
        <v>101.1</v>
      </c>
      <c r="G9" s="13">
        <v>2.12</v>
      </c>
      <c r="H9" s="13">
        <v>2.33</v>
      </c>
    </row>
    <row r="10" spans="1:8" x14ac:dyDescent="0.25">
      <c r="A10" s="13">
        <v>9</v>
      </c>
      <c r="B10" s="19" t="s">
        <v>21</v>
      </c>
      <c r="C10" s="15" t="s">
        <v>15</v>
      </c>
      <c r="D10" s="28" t="s">
        <v>10</v>
      </c>
      <c r="E10" s="17" t="s">
        <v>11</v>
      </c>
      <c r="F10" s="18">
        <v>167.8</v>
      </c>
      <c r="G10" s="13">
        <v>1.78</v>
      </c>
      <c r="H10" s="13">
        <v>1.32</v>
      </c>
    </row>
    <row r="11" spans="1:8" ht="15.75" x14ac:dyDescent="0.25">
      <c r="A11" s="20">
        <v>10</v>
      </c>
      <c r="B11" s="29" t="s">
        <v>22</v>
      </c>
      <c r="C11" s="30" t="s">
        <v>9</v>
      </c>
      <c r="D11" s="31" t="s">
        <v>23</v>
      </c>
      <c r="E11" s="32" t="s">
        <v>11</v>
      </c>
      <c r="F11" s="65">
        <v>200.5</v>
      </c>
      <c r="G11" s="65">
        <v>2.02</v>
      </c>
      <c r="H11" s="65">
        <v>0.98</v>
      </c>
    </row>
    <row r="12" spans="1:8" x14ac:dyDescent="0.25">
      <c r="A12" s="20">
        <v>11</v>
      </c>
      <c r="B12" s="27" t="s">
        <v>24</v>
      </c>
      <c r="C12" s="22" t="s">
        <v>13</v>
      </c>
      <c r="D12" s="33" t="s">
        <v>23</v>
      </c>
      <c r="E12" s="24" t="s">
        <v>11</v>
      </c>
      <c r="F12" s="46">
        <v>161.9</v>
      </c>
      <c r="G12" s="55">
        <v>2.17</v>
      </c>
      <c r="H12" s="55">
        <v>1.52</v>
      </c>
    </row>
    <row r="13" spans="1:8" x14ac:dyDescent="0.25">
      <c r="A13" s="20">
        <v>12</v>
      </c>
      <c r="B13" s="27" t="s">
        <v>25</v>
      </c>
      <c r="C13" s="22" t="s">
        <v>15</v>
      </c>
      <c r="D13" s="33" t="s">
        <v>23</v>
      </c>
      <c r="E13" s="24" t="s">
        <v>11</v>
      </c>
      <c r="F13" s="46">
        <v>313</v>
      </c>
      <c r="G13" s="55">
        <v>1.99</v>
      </c>
      <c r="H13" s="55">
        <v>1.64</v>
      </c>
    </row>
    <row r="14" spans="1:8" ht="15.75" x14ac:dyDescent="0.25">
      <c r="A14" s="13">
        <v>13</v>
      </c>
      <c r="B14" s="19" t="s">
        <v>26</v>
      </c>
      <c r="C14" s="15" t="s">
        <v>9</v>
      </c>
      <c r="D14" s="34" t="s">
        <v>23</v>
      </c>
      <c r="E14" s="35" t="s">
        <v>11</v>
      </c>
      <c r="F14" s="66">
        <v>200.5</v>
      </c>
      <c r="G14" s="66">
        <v>2.02</v>
      </c>
      <c r="H14" s="66">
        <v>0.98</v>
      </c>
    </row>
    <row r="15" spans="1:8" x14ac:dyDescent="0.25">
      <c r="A15" s="13">
        <v>14</v>
      </c>
      <c r="B15" s="19" t="s">
        <v>27</v>
      </c>
      <c r="C15" s="15" t="s">
        <v>13</v>
      </c>
      <c r="D15" s="34" t="s">
        <v>23</v>
      </c>
      <c r="E15" s="35" t="s">
        <v>11</v>
      </c>
      <c r="F15" s="36">
        <v>85.5</v>
      </c>
      <c r="G15" s="36">
        <v>2.11</v>
      </c>
      <c r="H15" s="36">
        <v>1.25</v>
      </c>
    </row>
    <row r="16" spans="1:8" x14ac:dyDescent="0.25">
      <c r="A16" s="13">
        <v>15</v>
      </c>
      <c r="B16" s="19" t="s">
        <v>28</v>
      </c>
      <c r="C16" s="15" t="s">
        <v>15</v>
      </c>
      <c r="D16" s="34" t="s">
        <v>23</v>
      </c>
      <c r="E16" s="35" t="s">
        <v>11</v>
      </c>
      <c r="F16" s="36">
        <v>419.5</v>
      </c>
      <c r="G16" s="36">
        <v>2.15</v>
      </c>
      <c r="H16" s="36">
        <v>1.81</v>
      </c>
    </row>
    <row r="17" spans="1:8" x14ac:dyDescent="0.25">
      <c r="A17" s="20">
        <v>16</v>
      </c>
      <c r="B17" s="27" t="s">
        <v>29</v>
      </c>
      <c r="C17" s="22" t="s">
        <v>9</v>
      </c>
      <c r="D17" s="33" t="s">
        <v>23</v>
      </c>
      <c r="E17" s="24" t="s">
        <v>11</v>
      </c>
      <c r="F17" s="20">
        <v>81.7</v>
      </c>
      <c r="G17" s="20">
        <v>1.95</v>
      </c>
      <c r="H17" s="20">
        <v>0.77</v>
      </c>
    </row>
    <row r="18" spans="1:8" ht="15.75" x14ac:dyDescent="0.25">
      <c r="A18" s="37">
        <v>17</v>
      </c>
      <c r="B18" s="38" t="s">
        <v>30</v>
      </c>
      <c r="C18" s="39" t="s">
        <v>13</v>
      </c>
      <c r="D18" s="40" t="s">
        <v>23</v>
      </c>
      <c r="E18" s="40" t="s">
        <v>11</v>
      </c>
      <c r="F18" s="41">
        <v>331</v>
      </c>
      <c r="G18" s="42">
        <f>(80*20)/(F18)</f>
        <v>4.833836858006042</v>
      </c>
      <c r="H18" s="42">
        <f>20-G18</f>
        <v>15.166163141993959</v>
      </c>
    </row>
    <row r="19" spans="1:8" x14ac:dyDescent="0.25">
      <c r="A19" s="20">
        <v>18</v>
      </c>
      <c r="B19" s="27" t="s">
        <v>31</v>
      </c>
      <c r="C19" s="22" t="s">
        <v>15</v>
      </c>
      <c r="D19" s="33" t="s">
        <v>23</v>
      </c>
      <c r="E19" s="24" t="s">
        <v>11</v>
      </c>
      <c r="F19" s="20">
        <v>146.6</v>
      </c>
      <c r="G19" s="20">
        <v>1.92</v>
      </c>
      <c r="H19" s="20">
        <v>1.37</v>
      </c>
    </row>
    <row r="20" spans="1:8" x14ac:dyDescent="0.25">
      <c r="A20" s="43">
        <v>19</v>
      </c>
      <c r="B20" s="36" t="s">
        <v>32</v>
      </c>
      <c r="C20" s="15" t="s">
        <v>9</v>
      </c>
      <c r="D20" s="44" t="s">
        <v>33</v>
      </c>
      <c r="E20" s="17" t="s">
        <v>11</v>
      </c>
      <c r="F20" s="13">
        <v>437.4</v>
      </c>
      <c r="G20" s="13">
        <v>2.13</v>
      </c>
      <c r="H20" s="13">
        <v>1.39</v>
      </c>
    </row>
    <row r="21" spans="1:8" x14ac:dyDescent="0.25">
      <c r="A21" s="45">
        <v>20</v>
      </c>
      <c r="B21" s="36" t="s">
        <v>34</v>
      </c>
      <c r="C21" s="15" t="s">
        <v>13</v>
      </c>
      <c r="D21" s="44" t="s">
        <v>33</v>
      </c>
      <c r="E21" s="17" t="s">
        <v>11</v>
      </c>
      <c r="F21" s="13">
        <v>240.7</v>
      </c>
      <c r="G21" s="13">
        <v>2.23</v>
      </c>
      <c r="H21" s="13">
        <v>1.56</v>
      </c>
    </row>
    <row r="22" spans="1:8" x14ac:dyDescent="0.25">
      <c r="A22" s="45">
        <v>21</v>
      </c>
      <c r="B22" s="36" t="s">
        <v>35</v>
      </c>
      <c r="C22" s="15" t="s">
        <v>15</v>
      </c>
      <c r="D22" s="44" t="s">
        <v>33</v>
      </c>
      <c r="E22" s="17" t="s">
        <v>11</v>
      </c>
      <c r="F22" s="13">
        <v>235.2</v>
      </c>
      <c r="G22" s="13">
        <v>2.12</v>
      </c>
      <c r="H22" s="13">
        <v>1.71</v>
      </c>
    </row>
    <row r="23" spans="1:8" x14ac:dyDescent="0.25">
      <c r="A23" s="46">
        <v>22</v>
      </c>
      <c r="B23" s="26" t="s">
        <v>36</v>
      </c>
      <c r="C23" s="22" t="s">
        <v>9</v>
      </c>
      <c r="D23" s="47" t="s">
        <v>33</v>
      </c>
      <c r="E23" s="24" t="s">
        <v>11</v>
      </c>
      <c r="F23" s="26">
        <v>263.2</v>
      </c>
      <c r="G23" s="26">
        <v>2.09</v>
      </c>
      <c r="H23" s="26">
        <v>1.22</v>
      </c>
    </row>
    <row r="24" spans="1:8" x14ac:dyDescent="0.25">
      <c r="A24" s="46">
        <v>23</v>
      </c>
      <c r="B24" s="26" t="s">
        <v>37</v>
      </c>
      <c r="C24" s="22" t="s">
        <v>13</v>
      </c>
      <c r="D24" s="47" t="s">
        <v>33</v>
      </c>
      <c r="E24" s="24" t="s">
        <v>11</v>
      </c>
      <c r="F24" s="26">
        <v>254.8</v>
      </c>
      <c r="G24" s="26">
        <v>2.21</v>
      </c>
      <c r="H24" s="26">
        <v>1.38</v>
      </c>
    </row>
    <row r="25" spans="1:8" x14ac:dyDescent="0.25">
      <c r="A25" s="46">
        <v>24</v>
      </c>
      <c r="B25" s="26" t="s">
        <v>38</v>
      </c>
      <c r="C25" s="22" t="s">
        <v>15</v>
      </c>
      <c r="D25" s="47" t="s">
        <v>33</v>
      </c>
      <c r="E25" s="24" t="s">
        <v>11</v>
      </c>
      <c r="F25" s="26">
        <v>506.1</v>
      </c>
      <c r="G25" s="26">
        <v>2.0499999999999998</v>
      </c>
      <c r="H25" s="26">
        <v>1.72</v>
      </c>
    </row>
    <row r="26" spans="1:8" x14ac:dyDescent="0.25">
      <c r="A26" s="45">
        <v>25</v>
      </c>
      <c r="B26" s="36" t="s">
        <v>39</v>
      </c>
      <c r="C26" s="15" t="s">
        <v>9</v>
      </c>
      <c r="D26" s="44" t="s">
        <v>33</v>
      </c>
      <c r="E26" s="17" t="s">
        <v>11</v>
      </c>
      <c r="F26" s="13">
        <v>104</v>
      </c>
      <c r="G26" s="13">
        <v>2.2000000000000002</v>
      </c>
      <c r="H26" s="13">
        <v>0.69</v>
      </c>
    </row>
    <row r="27" spans="1:8" x14ac:dyDescent="0.25">
      <c r="A27" s="45">
        <v>26</v>
      </c>
      <c r="B27" s="36" t="s">
        <v>40</v>
      </c>
      <c r="C27" s="15" t="s">
        <v>13</v>
      </c>
      <c r="D27" s="44" t="s">
        <v>33</v>
      </c>
      <c r="E27" s="17" t="s">
        <v>11</v>
      </c>
      <c r="F27" s="13">
        <v>67.599999999999994</v>
      </c>
      <c r="G27" s="13">
        <v>2.1800000000000002</v>
      </c>
      <c r="H27" s="13">
        <v>0.38</v>
      </c>
    </row>
    <row r="28" spans="1:8" x14ac:dyDescent="0.25">
      <c r="A28" s="45">
        <v>27</v>
      </c>
      <c r="B28" s="36" t="s">
        <v>41</v>
      </c>
      <c r="C28" s="15" t="s">
        <v>15</v>
      </c>
      <c r="D28" s="44" t="s">
        <v>33</v>
      </c>
      <c r="E28" s="17" t="s">
        <v>11</v>
      </c>
      <c r="F28" s="13">
        <v>371.9</v>
      </c>
      <c r="G28" s="13">
        <v>2.19</v>
      </c>
      <c r="H28" s="13">
        <v>1.19</v>
      </c>
    </row>
    <row r="29" spans="1:8" x14ac:dyDescent="0.25">
      <c r="A29" s="46">
        <v>28</v>
      </c>
      <c r="B29" s="27" t="s">
        <v>42</v>
      </c>
      <c r="C29" s="22" t="s">
        <v>9</v>
      </c>
      <c r="D29" s="23" t="s">
        <v>10</v>
      </c>
      <c r="E29" s="48" t="s">
        <v>43</v>
      </c>
      <c r="F29" s="20">
        <v>252.8</v>
      </c>
      <c r="G29" s="20">
        <v>1.92</v>
      </c>
      <c r="H29" s="20">
        <v>0.8</v>
      </c>
    </row>
    <row r="30" spans="1:8" x14ac:dyDescent="0.25">
      <c r="A30" s="46">
        <v>29</v>
      </c>
      <c r="B30" s="27" t="s">
        <v>44</v>
      </c>
      <c r="C30" s="22" t="s">
        <v>13</v>
      </c>
      <c r="D30" s="23" t="s">
        <v>10</v>
      </c>
      <c r="E30" s="48" t="s">
        <v>43</v>
      </c>
      <c r="F30" s="20">
        <v>190.6</v>
      </c>
      <c r="G30" s="20">
        <v>2.19</v>
      </c>
      <c r="H30" s="20">
        <v>1.48</v>
      </c>
    </row>
    <row r="31" spans="1:8" x14ac:dyDescent="0.25">
      <c r="A31" s="46">
        <v>30</v>
      </c>
      <c r="B31" s="27" t="s">
        <v>45</v>
      </c>
      <c r="C31" s="22" t="s">
        <v>15</v>
      </c>
      <c r="D31" s="23" t="s">
        <v>10</v>
      </c>
      <c r="E31" s="48" t="s">
        <v>43</v>
      </c>
      <c r="F31" s="49">
        <v>93.3</v>
      </c>
      <c r="G31" s="49">
        <v>2.08</v>
      </c>
      <c r="H31" s="49">
        <v>1.05</v>
      </c>
    </row>
    <row r="32" spans="1:8" x14ac:dyDescent="0.25">
      <c r="A32" s="45">
        <v>31</v>
      </c>
      <c r="B32" s="19" t="s">
        <v>46</v>
      </c>
      <c r="C32" s="15" t="s">
        <v>9</v>
      </c>
      <c r="D32" s="16" t="s">
        <v>10</v>
      </c>
      <c r="E32" s="50" t="s">
        <v>43</v>
      </c>
      <c r="F32" s="36">
        <v>412.5</v>
      </c>
      <c r="G32" s="36">
        <v>2.09</v>
      </c>
      <c r="H32" s="36">
        <v>1.26</v>
      </c>
    </row>
    <row r="33" spans="1:8" x14ac:dyDescent="0.25">
      <c r="A33" s="45">
        <v>32</v>
      </c>
      <c r="B33" s="19" t="s">
        <v>47</v>
      </c>
      <c r="C33" s="15" t="s">
        <v>13</v>
      </c>
      <c r="D33" s="16" t="s">
        <v>10</v>
      </c>
      <c r="E33" s="50" t="s">
        <v>43</v>
      </c>
      <c r="F33" s="36">
        <v>325.60000000000002</v>
      </c>
      <c r="G33" s="36">
        <v>2.21</v>
      </c>
      <c r="H33" s="36">
        <v>1.74</v>
      </c>
    </row>
    <row r="34" spans="1:8" x14ac:dyDescent="0.25">
      <c r="A34" s="45">
        <v>33</v>
      </c>
      <c r="B34" s="19" t="s">
        <v>48</v>
      </c>
      <c r="C34" s="15" t="s">
        <v>15</v>
      </c>
      <c r="D34" s="16" t="s">
        <v>10</v>
      </c>
      <c r="E34" s="50" t="s">
        <v>43</v>
      </c>
      <c r="F34" s="51">
        <v>366.2</v>
      </c>
      <c r="G34" s="51">
        <v>2.11</v>
      </c>
      <c r="H34" s="51">
        <v>1.67</v>
      </c>
    </row>
    <row r="35" spans="1:8" x14ac:dyDescent="0.25">
      <c r="A35" s="46">
        <v>34</v>
      </c>
      <c r="B35" s="27" t="s">
        <v>49</v>
      </c>
      <c r="C35" s="22" t="s">
        <v>9</v>
      </c>
      <c r="D35" s="23" t="s">
        <v>10</v>
      </c>
      <c r="E35" s="48" t="s">
        <v>43</v>
      </c>
      <c r="F35" s="20">
        <v>84.9</v>
      </c>
      <c r="G35" s="20">
        <v>1.97</v>
      </c>
      <c r="H35" s="20">
        <v>0.82</v>
      </c>
    </row>
    <row r="36" spans="1:8" x14ac:dyDescent="0.25">
      <c r="A36" s="46">
        <v>35</v>
      </c>
      <c r="B36" s="27" t="s">
        <v>50</v>
      </c>
      <c r="C36" s="22" t="s">
        <v>13</v>
      </c>
      <c r="D36" s="23" t="s">
        <v>10</v>
      </c>
      <c r="E36" s="48" t="s">
        <v>43</v>
      </c>
      <c r="F36" s="20">
        <v>85.6</v>
      </c>
      <c r="G36" s="20">
        <v>2.06</v>
      </c>
      <c r="H36" s="20">
        <v>0.97</v>
      </c>
    </row>
    <row r="37" spans="1:8" x14ac:dyDescent="0.25">
      <c r="A37" s="46">
        <v>36</v>
      </c>
      <c r="B37" s="27" t="s">
        <v>51</v>
      </c>
      <c r="C37" s="22" t="s">
        <v>15</v>
      </c>
      <c r="D37" s="23" t="s">
        <v>10</v>
      </c>
      <c r="E37" s="48" t="s">
        <v>43</v>
      </c>
      <c r="F37" s="49">
        <v>122.6</v>
      </c>
      <c r="G37" s="49">
        <v>1.98</v>
      </c>
      <c r="H37" s="49">
        <v>1.28</v>
      </c>
    </row>
    <row r="38" spans="1:8" x14ac:dyDescent="0.25">
      <c r="A38" s="45">
        <v>37</v>
      </c>
      <c r="B38" s="52" t="s">
        <v>52</v>
      </c>
      <c r="C38" s="15" t="s">
        <v>9</v>
      </c>
      <c r="D38" s="53" t="s">
        <v>23</v>
      </c>
      <c r="E38" s="54" t="s">
        <v>43</v>
      </c>
      <c r="F38" s="51">
        <v>306.10000000000002</v>
      </c>
      <c r="G38" s="51">
        <v>2.08</v>
      </c>
      <c r="H38" s="51">
        <v>1.19</v>
      </c>
    </row>
    <row r="39" spans="1:8" x14ac:dyDescent="0.25">
      <c r="A39" s="45">
        <v>38</v>
      </c>
      <c r="B39" s="52" t="s">
        <v>53</v>
      </c>
      <c r="C39" s="15" t="s">
        <v>13</v>
      </c>
      <c r="D39" s="53" t="s">
        <v>23</v>
      </c>
      <c r="E39" s="54" t="s">
        <v>43</v>
      </c>
      <c r="F39" s="51">
        <v>689.1</v>
      </c>
      <c r="G39" s="51">
        <v>2.21</v>
      </c>
      <c r="H39" s="51">
        <v>1.91</v>
      </c>
    </row>
    <row r="40" spans="1:8" x14ac:dyDescent="0.25">
      <c r="A40" s="45">
        <v>39</v>
      </c>
      <c r="B40" s="52" t="s">
        <v>54</v>
      </c>
      <c r="C40" s="15" t="s">
        <v>15</v>
      </c>
      <c r="D40" s="53" t="s">
        <v>23</v>
      </c>
      <c r="E40" s="54" t="s">
        <v>43</v>
      </c>
      <c r="F40" s="51">
        <v>142.6</v>
      </c>
      <c r="G40" s="51">
        <v>1.59</v>
      </c>
      <c r="H40" s="51">
        <v>1.1100000000000001</v>
      </c>
    </row>
    <row r="41" spans="1:8" x14ac:dyDescent="0.25">
      <c r="A41" s="55">
        <v>40</v>
      </c>
      <c r="B41" s="56" t="s">
        <v>55</v>
      </c>
      <c r="C41" s="22" t="s">
        <v>9</v>
      </c>
      <c r="D41" s="33" t="s">
        <v>23</v>
      </c>
      <c r="E41" s="48" t="s">
        <v>43</v>
      </c>
      <c r="F41" s="57">
        <v>518.9</v>
      </c>
      <c r="G41" s="57">
        <v>2.11</v>
      </c>
      <c r="H41" s="57">
        <v>1.38</v>
      </c>
    </row>
    <row r="42" spans="1:8" x14ac:dyDescent="0.25">
      <c r="A42" s="55">
        <v>41</v>
      </c>
      <c r="B42" s="56" t="s">
        <v>56</v>
      </c>
      <c r="C42" s="22" t="s">
        <v>13</v>
      </c>
      <c r="D42" s="33" t="s">
        <v>23</v>
      </c>
      <c r="E42" s="48" t="s">
        <v>43</v>
      </c>
      <c r="F42" s="57">
        <v>476.9</v>
      </c>
      <c r="G42" s="57">
        <v>2.25</v>
      </c>
      <c r="H42" s="57">
        <v>1.97</v>
      </c>
    </row>
    <row r="43" spans="1:8" x14ac:dyDescent="0.25">
      <c r="A43" s="55">
        <v>42</v>
      </c>
      <c r="B43" s="56" t="s">
        <v>57</v>
      </c>
      <c r="C43" s="22" t="s">
        <v>15</v>
      </c>
      <c r="D43" s="33" t="s">
        <v>23</v>
      </c>
      <c r="E43" s="48" t="s">
        <v>43</v>
      </c>
      <c r="F43" s="57">
        <v>251</v>
      </c>
      <c r="G43" s="57">
        <v>2.13</v>
      </c>
      <c r="H43" s="57">
        <v>1.65</v>
      </c>
    </row>
    <row r="44" spans="1:8" x14ac:dyDescent="0.25">
      <c r="A44" s="45">
        <v>43</v>
      </c>
      <c r="B44" s="52" t="s">
        <v>58</v>
      </c>
      <c r="C44" s="15" t="s">
        <v>9</v>
      </c>
      <c r="D44" s="53" t="s">
        <v>23</v>
      </c>
      <c r="E44" s="54" t="s">
        <v>43</v>
      </c>
      <c r="F44" s="51">
        <v>510.5</v>
      </c>
      <c r="G44" s="51">
        <v>2.0299999999999998</v>
      </c>
      <c r="H44" s="51">
        <v>1.08</v>
      </c>
    </row>
    <row r="45" spans="1:8" x14ac:dyDescent="0.25">
      <c r="A45" s="45">
        <v>44</v>
      </c>
      <c r="B45" s="52" t="s">
        <v>59</v>
      </c>
      <c r="C45" s="15" t="s">
        <v>13</v>
      </c>
      <c r="D45" s="53" t="s">
        <v>23</v>
      </c>
      <c r="E45" s="54" t="s">
        <v>43</v>
      </c>
      <c r="F45" s="51">
        <v>335.1</v>
      </c>
      <c r="G45" s="51">
        <v>2.2400000000000002</v>
      </c>
      <c r="H45" s="51">
        <v>1.85</v>
      </c>
    </row>
    <row r="46" spans="1:8" x14ac:dyDescent="0.25">
      <c r="A46" s="45">
        <v>45</v>
      </c>
      <c r="B46" s="52" t="s">
        <v>60</v>
      </c>
      <c r="C46" s="15" t="s">
        <v>15</v>
      </c>
      <c r="D46" s="53" t="s">
        <v>23</v>
      </c>
      <c r="E46" s="54" t="s">
        <v>43</v>
      </c>
      <c r="F46" s="51">
        <v>743.4</v>
      </c>
      <c r="G46" s="51">
        <v>2.19</v>
      </c>
      <c r="H46" s="51">
        <v>2.0099999999999998</v>
      </c>
    </row>
    <row r="47" spans="1:8" x14ac:dyDescent="0.25">
      <c r="A47" s="58">
        <v>46</v>
      </c>
      <c r="B47" s="59" t="s">
        <v>61</v>
      </c>
      <c r="C47" s="30" t="s">
        <v>9</v>
      </c>
      <c r="D47" s="60" t="s">
        <v>33</v>
      </c>
      <c r="E47" s="61" t="s">
        <v>43</v>
      </c>
      <c r="F47" s="59">
        <v>143.1</v>
      </c>
      <c r="G47" s="59">
        <v>2.19</v>
      </c>
      <c r="H47" s="59">
        <v>0.78</v>
      </c>
    </row>
    <row r="48" spans="1:8" x14ac:dyDescent="0.25">
      <c r="A48" s="58">
        <v>47</v>
      </c>
      <c r="B48" s="59" t="s">
        <v>62</v>
      </c>
      <c r="C48" s="30" t="s">
        <v>13</v>
      </c>
      <c r="D48" s="60" t="s">
        <v>33</v>
      </c>
      <c r="E48" s="61" t="s">
        <v>43</v>
      </c>
      <c r="F48" s="59">
        <v>145.4</v>
      </c>
      <c r="G48" s="59">
        <v>2.23</v>
      </c>
      <c r="H48" s="59">
        <v>0.77</v>
      </c>
    </row>
    <row r="49" spans="1:8" x14ac:dyDescent="0.25">
      <c r="A49" s="58">
        <v>48</v>
      </c>
      <c r="B49" s="59" t="s">
        <v>63</v>
      </c>
      <c r="C49" s="30" t="s">
        <v>15</v>
      </c>
      <c r="D49" s="60" t="s">
        <v>33</v>
      </c>
      <c r="E49" s="61" t="s">
        <v>43</v>
      </c>
      <c r="F49" s="59">
        <v>120.5</v>
      </c>
      <c r="G49" s="59">
        <v>2.1800000000000002</v>
      </c>
      <c r="H49" s="59">
        <v>0.76</v>
      </c>
    </row>
    <row r="50" spans="1:8" x14ac:dyDescent="0.25">
      <c r="A50" s="45">
        <v>49</v>
      </c>
      <c r="B50" s="62" t="s">
        <v>64</v>
      </c>
      <c r="C50" s="15" t="s">
        <v>9</v>
      </c>
      <c r="D50" s="63" t="s">
        <v>33</v>
      </c>
      <c r="E50" s="64" t="s">
        <v>43</v>
      </c>
      <c r="F50" s="62">
        <v>472</v>
      </c>
      <c r="G50" s="62">
        <v>2.13</v>
      </c>
      <c r="H50" s="62">
        <v>1.27</v>
      </c>
    </row>
    <row r="51" spans="1:8" x14ac:dyDescent="0.25">
      <c r="A51" s="45">
        <v>50</v>
      </c>
      <c r="B51" s="62" t="s">
        <v>65</v>
      </c>
      <c r="C51" s="15" t="s">
        <v>13</v>
      </c>
      <c r="D51" s="63" t="s">
        <v>33</v>
      </c>
      <c r="E51" s="64" t="s">
        <v>43</v>
      </c>
      <c r="F51" s="62">
        <v>301.60000000000002</v>
      </c>
      <c r="G51" s="62">
        <v>2.2200000000000002</v>
      </c>
      <c r="H51" s="62">
        <v>1.51</v>
      </c>
    </row>
    <row r="52" spans="1:8" x14ac:dyDescent="0.25">
      <c r="A52" s="45">
        <v>51</v>
      </c>
      <c r="B52" s="62" t="s">
        <v>66</v>
      </c>
      <c r="C52" s="15" t="s">
        <v>15</v>
      </c>
      <c r="D52" s="63" t="s">
        <v>33</v>
      </c>
      <c r="E52" s="64" t="s">
        <v>43</v>
      </c>
      <c r="F52" s="62">
        <v>1003.8</v>
      </c>
      <c r="G52" s="62">
        <v>2.15</v>
      </c>
      <c r="H52" s="62">
        <v>1.76</v>
      </c>
    </row>
    <row r="53" spans="1:8" x14ac:dyDescent="0.25">
      <c r="A53" s="58">
        <v>52</v>
      </c>
      <c r="B53" s="59" t="s">
        <v>67</v>
      </c>
      <c r="C53" s="30" t="s">
        <v>9</v>
      </c>
      <c r="D53" s="60" t="s">
        <v>33</v>
      </c>
      <c r="E53" s="61" t="s">
        <v>43</v>
      </c>
      <c r="F53" s="59">
        <v>253.6</v>
      </c>
      <c r="G53" s="59">
        <v>2.15</v>
      </c>
      <c r="H53" s="59">
        <v>1.46</v>
      </c>
    </row>
    <row r="54" spans="1:8" x14ac:dyDescent="0.25">
      <c r="A54" s="58">
        <v>53</v>
      </c>
      <c r="B54" s="59" t="s">
        <v>68</v>
      </c>
      <c r="C54" s="30" t="s">
        <v>13</v>
      </c>
      <c r="D54" s="60" t="s">
        <v>33</v>
      </c>
      <c r="E54" s="61" t="s">
        <v>43</v>
      </c>
      <c r="F54" s="59">
        <v>517.4</v>
      </c>
      <c r="G54" s="59">
        <v>2.2400000000000002</v>
      </c>
      <c r="H54" s="59">
        <v>1.83</v>
      </c>
    </row>
    <row r="55" spans="1:8" x14ac:dyDescent="0.25">
      <c r="A55" s="58">
        <v>54</v>
      </c>
      <c r="B55" s="59" t="s">
        <v>69</v>
      </c>
      <c r="C55" s="30" t="s">
        <v>15</v>
      </c>
      <c r="D55" s="60" t="s">
        <v>33</v>
      </c>
      <c r="E55" s="61" t="s">
        <v>43</v>
      </c>
      <c r="F55" s="59">
        <v>678.9</v>
      </c>
      <c r="G55" s="59">
        <v>2.16</v>
      </c>
      <c r="H55" s="59">
        <v>1.73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"/>
  <sheetViews>
    <sheetView topLeftCell="A10" workbookViewId="0">
      <selection activeCell="C31" sqref="C31:K85"/>
    </sheetView>
  </sheetViews>
  <sheetFormatPr defaultColWidth="11.42578125" defaultRowHeight="15" x14ac:dyDescent="0.25"/>
  <sheetData>
    <row r="1" spans="1:11" x14ac:dyDescent="0.25">
      <c r="A1" s="124" t="s">
        <v>104</v>
      </c>
      <c r="B1" s="125" t="s">
        <v>2</v>
      </c>
      <c r="C1" s="126" t="s">
        <v>79</v>
      </c>
      <c r="D1" s="127" t="s">
        <v>83</v>
      </c>
      <c r="E1" s="126" t="s">
        <v>91</v>
      </c>
      <c r="F1" s="127" t="s">
        <v>149</v>
      </c>
      <c r="G1" s="126" t="s">
        <v>150</v>
      </c>
      <c r="H1" s="128" t="s">
        <v>95</v>
      </c>
      <c r="I1" s="128" t="s">
        <v>122</v>
      </c>
      <c r="J1" s="129" t="s">
        <v>101</v>
      </c>
      <c r="K1" s="128" t="s">
        <v>222</v>
      </c>
    </row>
    <row r="2" spans="1:11" x14ac:dyDescent="0.25">
      <c r="A2" s="130" t="s">
        <v>23</v>
      </c>
      <c r="B2" s="131" t="s">
        <v>145</v>
      </c>
      <c r="C2" s="132">
        <v>22.100818161930249</v>
      </c>
      <c r="D2" s="133">
        <v>24.667399313308351</v>
      </c>
      <c r="E2" s="132">
        <v>25.6688751115705</v>
      </c>
      <c r="F2" s="133">
        <v>24.719096255101199</v>
      </c>
      <c r="G2" s="132">
        <v>23.769942659496699</v>
      </c>
      <c r="H2" s="134">
        <v>27.1</v>
      </c>
      <c r="I2" s="134">
        <v>23.17</v>
      </c>
      <c r="J2" s="135">
        <v>25.46</v>
      </c>
      <c r="K2" s="134">
        <v>25.56</v>
      </c>
    </row>
    <row r="3" spans="1:11" x14ac:dyDescent="0.25">
      <c r="A3" s="136" t="s">
        <v>23</v>
      </c>
      <c r="B3" s="137" t="s">
        <v>145</v>
      </c>
      <c r="C3" s="2">
        <v>18.63675309553555</v>
      </c>
      <c r="D3" s="138">
        <v>20.163566099647802</v>
      </c>
      <c r="E3" s="2">
        <v>20.355334973464203</v>
      </c>
      <c r="F3" s="138">
        <v>22.40796434782305</v>
      </c>
      <c r="G3" s="2">
        <v>19.101691292326201</v>
      </c>
      <c r="H3" s="139">
        <v>21.81</v>
      </c>
      <c r="I3" s="139">
        <v>20.65</v>
      </c>
      <c r="J3" s="1">
        <v>22.62</v>
      </c>
      <c r="K3" s="139">
        <v>24</v>
      </c>
    </row>
    <row r="4" spans="1:11" x14ac:dyDescent="0.25">
      <c r="A4" s="140" t="s">
        <v>23</v>
      </c>
      <c r="B4" s="141" t="s">
        <v>145</v>
      </c>
      <c r="C4" s="142">
        <v>22.846000389837499</v>
      </c>
      <c r="D4" s="143">
        <v>22.8539108344137</v>
      </c>
      <c r="E4" s="142">
        <v>22.61136193880775</v>
      </c>
      <c r="F4" s="143">
        <v>26.393393492376248</v>
      </c>
      <c r="G4" s="142">
        <v>22.609641337571198</v>
      </c>
      <c r="H4" s="144">
        <v>26.15</v>
      </c>
      <c r="I4" s="144">
        <v>25.43</v>
      </c>
      <c r="J4" s="145">
        <v>29.39</v>
      </c>
      <c r="K4" s="144">
        <v>24.98</v>
      </c>
    </row>
    <row r="5" spans="1:11" x14ac:dyDescent="0.25">
      <c r="A5" s="136" t="s">
        <v>23</v>
      </c>
      <c r="B5" s="137" t="s">
        <v>145</v>
      </c>
      <c r="C5" s="2">
        <v>28.2669305517583</v>
      </c>
      <c r="D5" s="138">
        <v>29.771992665583198</v>
      </c>
      <c r="E5" s="2">
        <v>30.2357775092532</v>
      </c>
      <c r="F5" s="138">
        <v>26.554806887974649</v>
      </c>
      <c r="G5" s="2">
        <v>28.924043909748299</v>
      </c>
      <c r="H5" s="139">
        <v>32.32</v>
      </c>
      <c r="I5" s="139">
        <v>25.18</v>
      </c>
      <c r="J5" s="1">
        <v>24.61</v>
      </c>
      <c r="K5" s="139">
        <v>30.58</v>
      </c>
    </row>
    <row r="6" spans="1:11" x14ac:dyDescent="0.25">
      <c r="A6" s="136" t="s">
        <v>23</v>
      </c>
      <c r="B6" s="137" t="s">
        <v>145</v>
      </c>
      <c r="C6" s="2">
        <v>23.982911515385048</v>
      </c>
      <c r="D6" s="138">
        <v>23.174025608885</v>
      </c>
      <c r="E6" s="2">
        <v>23.080352889989953</v>
      </c>
      <c r="F6" s="138">
        <v>28.100547694632802</v>
      </c>
      <c r="G6" s="2">
        <v>24.366074667649698</v>
      </c>
      <c r="H6" s="139">
        <v>25.75</v>
      </c>
      <c r="I6" s="139">
        <v>26.33</v>
      </c>
      <c r="J6" s="1">
        <v>23.32</v>
      </c>
      <c r="K6" s="139">
        <v>26.92</v>
      </c>
    </row>
    <row r="7" spans="1:11" x14ac:dyDescent="0.25">
      <c r="A7" s="136" t="s">
        <v>23</v>
      </c>
      <c r="B7" s="137" t="s">
        <v>145</v>
      </c>
      <c r="C7" s="2">
        <v>26.548404277795051</v>
      </c>
      <c r="D7" s="138">
        <v>28.907664489701901</v>
      </c>
      <c r="E7" s="2">
        <v>28.346161361439002</v>
      </c>
      <c r="F7" s="138">
        <v>25.455893679505451</v>
      </c>
      <c r="G7" s="2">
        <v>25.946921440559997</v>
      </c>
      <c r="H7" s="139">
        <v>31.09</v>
      </c>
      <c r="I7" s="139">
        <v>23.52</v>
      </c>
      <c r="J7" s="1">
        <v>23.34</v>
      </c>
      <c r="K7" s="139">
        <v>29.07</v>
      </c>
    </row>
    <row r="8" spans="1:11" x14ac:dyDescent="0.25">
      <c r="A8" s="130" t="s">
        <v>23</v>
      </c>
      <c r="B8" s="131" t="s">
        <v>15</v>
      </c>
      <c r="C8" s="132">
        <v>24.680436343333348</v>
      </c>
      <c r="D8" s="133">
        <v>25.435337097366549</v>
      </c>
      <c r="E8" s="132">
        <v>26.768729628084898</v>
      </c>
      <c r="F8" s="133">
        <v>29.566304014454449</v>
      </c>
      <c r="G8" s="132">
        <v>23.516823215869699</v>
      </c>
      <c r="H8" s="134">
        <v>28.65</v>
      </c>
      <c r="I8" s="134">
        <v>20.7</v>
      </c>
      <c r="J8" s="135">
        <v>27.27</v>
      </c>
      <c r="K8" s="134">
        <v>24.46</v>
      </c>
    </row>
    <row r="9" spans="1:11" x14ac:dyDescent="0.25">
      <c r="A9" s="136" t="s">
        <v>23</v>
      </c>
      <c r="B9" s="137" t="s">
        <v>15</v>
      </c>
      <c r="C9" s="2">
        <v>24.118959579206951</v>
      </c>
      <c r="D9" s="138">
        <v>25.594712197500549</v>
      </c>
      <c r="E9" s="2">
        <v>25.856608800376897</v>
      </c>
      <c r="F9" s="138">
        <v>29.448887205972802</v>
      </c>
      <c r="G9" s="2">
        <v>24.87945637991195</v>
      </c>
      <c r="H9" s="139">
        <v>28.11</v>
      </c>
      <c r="I9" s="139">
        <v>27.38</v>
      </c>
      <c r="J9" s="1">
        <v>26.8</v>
      </c>
      <c r="K9" s="139">
        <v>30.44</v>
      </c>
    </row>
    <row r="10" spans="1:11" x14ac:dyDescent="0.25">
      <c r="A10" s="140" t="s">
        <v>23</v>
      </c>
      <c r="B10" s="141" t="s">
        <v>15</v>
      </c>
      <c r="C10" s="142">
        <v>23.9639059572335</v>
      </c>
      <c r="D10" s="143">
        <v>24.639921528181901</v>
      </c>
      <c r="E10" s="142">
        <v>24.896554903006951</v>
      </c>
      <c r="F10" s="143">
        <v>30.309502481296498</v>
      </c>
      <c r="G10" s="142">
        <v>24.632798521654102</v>
      </c>
      <c r="H10" s="144">
        <v>28.63</v>
      </c>
      <c r="I10" s="144">
        <v>27.7</v>
      </c>
      <c r="J10" s="145">
        <v>30.63</v>
      </c>
      <c r="K10" s="144">
        <v>28.17</v>
      </c>
    </row>
    <row r="11" spans="1:11" x14ac:dyDescent="0.25">
      <c r="A11" s="136" t="s">
        <v>23</v>
      </c>
      <c r="B11" s="137" t="s">
        <v>15</v>
      </c>
      <c r="C11" s="2">
        <v>29.438856248887049</v>
      </c>
      <c r="D11" s="138">
        <v>31.0996520715331</v>
      </c>
      <c r="E11" s="2">
        <v>31.789650333563952</v>
      </c>
      <c r="F11" s="138">
        <v>35.051610081658055</v>
      </c>
      <c r="G11" s="2">
        <v>32.205246222099802</v>
      </c>
      <c r="H11" s="139">
        <v>33.75</v>
      </c>
      <c r="I11" s="139">
        <v>31.77</v>
      </c>
      <c r="J11" s="1">
        <v>37.56</v>
      </c>
      <c r="K11" s="139">
        <v>33.11</v>
      </c>
    </row>
    <row r="12" spans="1:11" x14ac:dyDescent="0.25">
      <c r="A12" s="136" t="s">
        <v>23</v>
      </c>
      <c r="B12" s="137" t="s">
        <v>15</v>
      </c>
      <c r="C12" s="2">
        <v>27.7908766807356</v>
      </c>
      <c r="D12" s="138">
        <v>29.024147999272948</v>
      </c>
      <c r="E12" s="2">
        <v>31.071880180593048</v>
      </c>
      <c r="F12" s="138">
        <v>31.2026303510684</v>
      </c>
      <c r="G12" s="2">
        <v>28.095243653265001</v>
      </c>
      <c r="H12" s="139">
        <v>32.39</v>
      </c>
      <c r="I12" s="139">
        <v>27.88</v>
      </c>
      <c r="J12" s="1">
        <v>24.7</v>
      </c>
      <c r="K12" s="139">
        <v>29.95</v>
      </c>
    </row>
    <row r="13" spans="1:11" x14ac:dyDescent="0.25">
      <c r="A13" s="136" t="s">
        <v>23</v>
      </c>
      <c r="B13" s="137" t="s">
        <v>15</v>
      </c>
      <c r="C13" s="2">
        <v>25.892402260330449</v>
      </c>
      <c r="D13" s="138">
        <v>25.953586402124451</v>
      </c>
      <c r="E13" s="2">
        <v>26.35380217659225</v>
      </c>
      <c r="F13" s="138">
        <v>29.3644557724541</v>
      </c>
      <c r="G13" s="2">
        <v>25.808002396630801</v>
      </c>
      <c r="H13" s="139">
        <v>30.41</v>
      </c>
      <c r="I13" s="139">
        <v>26.12</v>
      </c>
      <c r="J13" s="1">
        <v>33.19</v>
      </c>
      <c r="K13" s="139">
        <v>30.1</v>
      </c>
    </row>
    <row r="14" spans="1:11" x14ac:dyDescent="0.25">
      <c r="A14" s="130" t="s">
        <v>23</v>
      </c>
      <c r="B14" s="131" t="s">
        <v>146</v>
      </c>
      <c r="C14" s="132">
        <v>15.907585597021651</v>
      </c>
      <c r="D14" s="133">
        <v>16.139633439934649</v>
      </c>
      <c r="E14" s="132">
        <v>16.622092250411953</v>
      </c>
      <c r="F14" s="133">
        <v>21.68564082395255</v>
      </c>
      <c r="G14" s="132">
        <v>18.663643110573251</v>
      </c>
      <c r="H14" s="134">
        <v>20.309999999999999</v>
      </c>
      <c r="I14" s="134">
        <v>27.24</v>
      </c>
      <c r="J14" s="135">
        <v>26.8</v>
      </c>
      <c r="K14" s="134">
        <v>24.37</v>
      </c>
    </row>
    <row r="15" spans="1:11" x14ac:dyDescent="0.25">
      <c r="A15" s="136" t="s">
        <v>23</v>
      </c>
      <c r="B15" s="137" t="s">
        <v>146</v>
      </c>
      <c r="C15" s="2">
        <v>15.025192620961601</v>
      </c>
      <c r="D15" s="138">
        <v>14.98608012574705</v>
      </c>
      <c r="E15" s="2">
        <v>16.008008222613199</v>
      </c>
      <c r="F15" s="138">
        <v>21.041287953964101</v>
      </c>
      <c r="G15" s="2">
        <v>18.225125634063001</v>
      </c>
      <c r="H15" s="139">
        <v>19.79</v>
      </c>
      <c r="I15" s="139">
        <v>19.66</v>
      </c>
      <c r="J15" s="1">
        <v>20.61</v>
      </c>
      <c r="K15" s="139">
        <v>18.239999999999998</v>
      </c>
    </row>
    <row r="16" spans="1:11" x14ac:dyDescent="0.25">
      <c r="A16" s="140" t="s">
        <v>23</v>
      </c>
      <c r="B16" s="141" t="s">
        <v>146</v>
      </c>
      <c r="C16" s="142">
        <v>15.554024884635801</v>
      </c>
      <c r="D16" s="143">
        <v>15.5898409876357</v>
      </c>
      <c r="E16" s="142">
        <v>16.556513366733398</v>
      </c>
      <c r="F16" s="143">
        <v>20.922244083098199</v>
      </c>
      <c r="G16" s="142">
        <v>18.453580829819899</v>
      </c>
      <c r="H16" s="144">
        <v>20.309999999999999</v>
      </c>
      <c r="I16" s="144">
        <v>20.47</v>
      </c>
      <c r="J16" s="145">
        <v>20.69</v>
      </c>
      <c r="K16" s="144">
        <v>19.36</v>
      </c>
    </row>
    <row r="17" spans="1:11" x14ac:dyDescent="0.25">
      <c r="A17" s="136" t="s">
        <v>23</v>
      </c>
      <c r="B17" s="137" t="s">
        <v>146</v>
      </c>
      <c r="C17" s="2">
        <v>16.855633678114948</v>
      </c>
      <c r="D17" s="138">
        <v>17.799952778759703</v>
      </c>
      <c r="E17" s="2">
        <v>19.010556405146101</v>
      </c>
      <c r="F17" s="138">
        <v>22.627154594619949</v>
      </c>
      <c r="G17" s="2">
        <v>21.766677039212251</v>
      </c>
      <c r="H17" s="139">
        <v>24.23</v>
      </c>
      <c r="I17" s="139">
        <v>21.12</v>
      </c>
      <c r="J17" s="1">
        <v>20.68</v>
      </c>
      <c r="K17" s="139">
        <v>21.42</v>
      </c>
    </row>
    <row r="18" spans="1:11" x14ac:dyDescent="0.25">
      <c r="A18" s="136" t="s">
        <v>23</v>
      </c>
      <c r="B18" s="137" t="s">
        <v>146</v>
      </c>
      <c r="C18" s="2">
        <v>16.697974555715298</v>
      </c>
      <c r="D18" s="138">
        <v>18.992900645421898</v>
      </c>
      <c r="E18" s="2">
        <v>20.0615409349837</v>
      </c>
      <c r="F18" s="138">
        <v>23.02553765663205</v>
      </c>
      <c r="G18" s="2">
        <v>22.196189056663798</v>
      </c>
      <c r="H18" s="139">
        <v>24.35</v>
      </c>
      <c r="I18" s="139">
        <v>22</v>
      </c>
      <c r="J18" s="1">
        <v>24.39</v>
      </c>
      <c r="K18" s="139">
        <v>20.64</v>
      </c>
    </row>
    <row r="19" spans="1:11" x14ac:dyDescent="0.25">
      <c r="A19" s="140" t="s">
        <v>23</v>
      </c>
      <c r="B19" s="141" t="s">
        <v>146</v>
      </c>
      <c r="C19" s="142">
        <v>18.4863541190423</v>
      </c>
      <c r="D19" s="143">
        <v>18.280240415552647</v>
      </c>
      <c r="E19" s="142">
        <v>18.726070795889399</v>
      </c>
      <c r="F19" s="143">
        <v>21.192468258600698</v>
      </c>
      <c r="G19" s="142">
        <v>20.640199576777452</v>
      </c>
      <c r="H19" s="144">
        <v>23.5</v>
      </c>
      <c r="I19" s="144">
        <v>20.2</v>
      </c>
      <c r="J19" s="145">
        <v>24.24</v>
      </c>
      <c r="K19" s="144">
        <v>21.51</v>
      </c>
    </row>
    <row r="22" spans="1:11" x14ac:dyDescent="0.25">
      <c r="A22" s="146" t="s">
        <v>104</v>
      </c>
      <c r="B22" s="147" t="s">
        <v>105</v>
      </c>
      <c r="C22" s="148" t="s">
        <v>79</v>
      </c>
      <c r="D22" s="149" t="s">
        <v>83</v>
      </c>
      <c r="E22" s="148" t="s">
        <v>91</v>
      </c>
      <c r="F22" s="149" t="s">
        <v>149</v>
      </c>
      <c r="G22" s="148" t="s">
        <v>150</v>
      </c>
      <c r="H22" s="150" t="s">
        <v>95</v>
      </c>
      <c r="I22" s="150" t="s">
        <v>122</v>
      </c>
      <c r="J22" s="151" t="s">
        <v>101</v>
      </c>
      <c r="K22" s="152" t="s">
        <v>102</v>
      </c>
    </row>
    <row r="23" spans="1:11" x14ac:dyDescent="0.25">
      <c r="A23" s="153" t="s">
        <v>23</v>
      </c>
      <c r="B23" s="6" t="s">
        <v>144</v>
      </c>
      <c r="C23" s="138">
        <v>20.896280034095099</v>
      </c>
      <c r="D23" s="2">
        <v>22.080789950203183</v>
      </c>
      <c r="E23" s="138">
        <v>23.019898996689118</v>
      </c>
      <c r="F23" s="2">
        <v>25.323680364502732</v>
      </c>
      <c r="G23" s="138">
        <v>21.983469661979882</v>
      </c>
      <c r="H23" s="2">
        <v>25.353333333333335</v>
      </c>
      <c r="I23" s="2">
        <v>23.703333333333333</v>
      </c>
      <c r="J23" s="138">
        <v>26.51</v>
      </c>
      <c r="K23" s="154">
        <v>24.796666666666667</v>
      </c>
    </row>
    <row r="24" spans="1:11" x14ac:dyDescent="0.25">
      <c r="A24" s="153" t="s">
        <v>23</v>
      </c>
      <c r="B24" s="6" t="s">
        <v>144</v>
      </c>
      <c r="C24" s="138">
        <v>19.260301765234701</v>
      </c>
      <c r="D24" s="2">
        <v>20.248119474298466</v>
      </c>
      <c r="E24" s="138">
        <v>20.739983998818101</v>
      </c>
      <c r="F24" s="2">
        <v>24.299379835919989</v>
      </c>
      <c r="G24" s="138">
        <v>20.735424435433718</v>
      </c>
      <c r="H24" s="2">
        <v>23.236666666666665</v>
      </c>
      <c r="I24" s="2">
        <v>22.563333333333333</v>
      </c>
      <c r="J24" s="138">
        <v>23.343333333333334</v>
      </c>
      <c r="K24" s="154">
        <v>24.226666666666663</v>
      </c>
    </row>
    <row r="25" spans="1:11" x14ac:dyDescent="0.25">
      <c r="A25" s="153" t="s">
        <v>23</v>
      </c>
      <c r="B25" s="6" t="s">
        <v>144</v>
      </c>
      <c r="C25" s="138">
        <v>20.787977077235599</v>
      </c>
      <c r="D25" s="2">
        <v>21.027891116743767</v>
      </c>
      <c r="E25" s="138">
        <v>21.354810069516031</v>
      </c>
      <c r="F25" s="2">
        <v>25.875046685590316</v>
      </c>
      <c r="G25" s="138">
        <v>21.898673563015066</v>
      </c>
      <c r="H25" s="2">
        <v>25.029999999999998</v>
      </c>
      <c r="I25" s="2">
        <v>24.533333333333331</v>
      </c>
      <c r="J25" s="138">
        <v>26.903333333333332</v>
      </c>
      <c r="K25" s="154">
        <v>24.17</v>
      </c>
    </row>
    <row r="26" spans="1:11" x14ac:dyDescent="0.25">
      <c r="A26" s="155" t="s">
        <v>23</v>
      </c>
      <c r="B26" s="156" t="s">
        <v>147</v>
      </c>
      <c r="C26" s="133">
        <v>24.853806826253432</v>
      </c>
      <c r="D26" s="132">
        <v>26.223865838625333</v>
      </c>
      <c r="E26" s="133">
        <v>27.011994749321087</v>
      </c>
      <c r="F26" s="132">
        <v>28.07785718808422</v>
      </c>
      <c r="G26" s="133">
        <v>27.631989057020117</v>
      </c>
      <c r="H26" s="132">
        <v>30.099999999999998</v>
      </c>
      <c r="I26" s="132">
        <v>26.02333333333333</v>
      </c>
      <c r="J26" s="133">
        <v>27.616666666666664</v>
      </c>
      <c r="K26" s="157">
        <v>28.37</v>
      </c>
    </row>
    <row r="27" spans="1:11" x14ac:dyDescent="0.25">
      <c r="A27" s="153" t="s">
        <v>23</v>
      </c>
      <c r="B27" s="7" t="s">
        <v>147</v>
      </c>
      <c r="C27" s="138">
        <v>22.823920917278645</v>
      </c>
      <c r="D27" s="2">
        <v>23.730358084526614</v>
      </c>
      <c r="E27" s="138">
        <v>24.737924668522236</v>
      </c>
      <c r="F27" s="2">
        <v>27.442905234111084</v>
      </c>
      <c r="G27" s="138">
        <v>24.885835792526166</v>
      </c>
      <c r="H27" s="2">
        <v>27.49666666666667</v>
      </c>
      <c r="I27" s="2">
        <v>25.403333333333332</v>
      </c>
      <c r="J27" s="138">
        <v>24.136666666666667</v>
      </c>
      <c r="K27" s="154">
        <v>25.83666666666667</v>
      </c>
    </row>
    <row r="28" spans="1:11" x14ac:dyDescent="0.25">
      <c r="A28" s="158" t="s">
        <v>23</v>
      </c>
      <c r="B28" s="159" t="s">
        <v>147</v>
      </c>
      <c r="C28" s="143">
        <v>23.642386885722601</v>
      </c>
      <c r="D28" s="142">
        <v>24.380497102459668</v>
      </c>
      <c r="E28" s="143">
        <v>24.47534477797355</v>
      </c>
      <c r="F28" s="142">
        <v>25.337605903520085</v>
      </c>
      <c r="G28" s="143">
        <v>24.131707804656084</v>
      </c>
      <c r="H28" s="142">
        <v>28.333333333333332</v>
      </c>
      <c r="I28" s="142">
        <v>23.28</v>
      </c>
      <c r="J28" s="143">
        <v>26.923333333333332</v>
      </c>
      <c r="K28" s="160">
        <v>26.893333333333334</v>
      </c>
    </row>
    <row r="29" spans="1:11" x14ac:dyDescent="0.25">
      <c r="A29" s="4"/>
      <c r="B29" s="4"/>
      <c r="C29" s="6"/>
      <c r="E29" s="2"/>
      <c r="F29" s="2"/>
      <c r="G29" s="2"/>
      <c r="H29" s="2"/>
      <c r="I29" s="1"/>
      <c r="J29" s="1"/>
      <c r="K29" s="1"/>
    </row>
    <row r="30" spans="1:11" x14ac:dyDescent="0.25">
      <c r="A30" s="4"/>
      <c r="B30" s="6"/>
      <c r="D30" s="2"/>
      <c r="E30" s="2"/>
      <c r="F30" s="2"/>
      <c r="G30" s="2"/>
      <c r="H30" s="2"/>
      <c r="I30" s="1"/>
      <c r="J30" s="1"/>
      <c r="K30" s="1"/>
    </row>
    <row r="31" spans="1:11" x14ac:dyDescent="0.25">
      <c r="A31" s="124" t="s">
        <v>104</v>
      </c>
      <c r="B31" s="161" t="s">
        <v>2</v>
      </c>
      <c r="C31" s="127" t="s">
        <v>79</v>
      </c>
      <c r="D31" s="126" t="s">
        <v>83</v>
      </c>
      <c r="E31" s="127" t="s">
        <v>91</v>
      </c>
      <c r="F31" s="126" t="s">
        <v>149</v>
      </c>
      <c r="G31" s="127" t="s">
        <v>150</v>
      </c>
      <c r="H31" s="129" t="s">
        <v>95</v>
      </c>
      <c r="I31" s="129" t="s">
        <v>122</v>
      </c>
      <c r="J31" s="128" t="s">
        <v>101</v>
      </c>
      <c r="K31" s="162" t="s">
        <v>102</v>
      </c>
    </row>
    <row r="32" spans="1:11" x14ac:dyDescent="0.25">
      <c r="A32" s="163" t="s">
        <v>10</v>
      </c>
      <c r="B32" s="164" t="s">
        <v>145</v>
      </c>
      <c r="C32" s="133">
        <v>19.841928426717651</v>
      </c>
      <c r="D32" s="132">
        <v>22.248228829350801</v>
      </c>
      <c r="E32" s="133">
        <v>22.294818925239401</v>
      </c>
      <c r="F32" s="132">
        <v>25.02922896484835</v>
      </c>
      <c r="G32" s="133">
        <v>21.953804088604102</v>
      </c>
      <c r="H32" s="165">
        <v>24.14</v>
      </c>
      <c r="I32" s="165">
        <v>23.32</v>
      </c>
      <c r="J32" s="166">
        <v>20.399999999999999</v>
      </c>
      <c r="K32" s="167">
        <v>25.02</v>
      </c>
    </row>
    <row r="33" spans="1:11" x14ac:dyDescent="0.25">
      <c r="A33" s="168" t="s">
        <v>10</v>
      </c>
      <c r="B33" s="169" t="s">
        <v>146</v>
      </c>
      <c r="C33" s="138">
        <v>17.969882590244399</v>
      </c>
      <c r="D33" s="2">
        <v>17.074513499629752</v>
      </c>
      <c r="E33" s="138">
        <v>18.1432354975625</v>
      </c>
      <c r="F33" s="2">
        <v>22.429309878189798</v>
      </c>
      <c r="G33" s="138">
        <v>20.183704230410399</v>
      </c>
      <c r="H33" s="170">
        <v>21.57</v>
      </c>
      <c r="I33" s="170">
        <v>21.24</v>
      </c>
      <c r="J33" s="171">
        <v>22.44</v>
      </c>
      <c r="K33" s="172">
        <v>21.54</v>
      </c>
    </row>
    <row r="34" spans="1:11" x14ac:dyDescent="0.25">
      <c r="A34" s="173" t="s">
        <v>10</v>
      </c>
      <c r="B34" s="174" t="s">
        <v>15</v>
      </c>
      <c r="C34" s="143">
        <v>25.863309334762601</v>
      </c>
      <c r="D34" s="142">
        <v>23.528551841024452</v>
      </c>
      <c r="E34" s="143">
        <v>26.503890295776948</v>
      </c>
      <c r="F34" s="142">
        <v>29.823381750827998</v>
      </c>
      <c r="G34" s="143">
        <v>25.119233226615002</v>
      </c>
      <c r="H34" s="175">
        <v>28.42</v>
      </c>
      <c r="I34" s="175">
        <v>27.02</v>
      </c>
      <c r="J34" s="176">
        <v>33.659999999999997</v>
      </c>
      <c r="K34" s="177">
        <v>28.9</v>
      </c>
    </row>
    <row r="35" spans="1:11" x14ac:dyDescent="0.25">
      <c r="A35" s="168" t="s">
        <v>10</v>
      </c>
      <c r="B35" s="169" t="s">
        <v>145</v>
      </c>
      <c r="C35" s="138">
        <v>19.790779922612202</v>
      </c>
      <c r="D35" s="2">
        <v>20.35358997339625</v>
      </c>
      <c r="E35" s="138">
        <v>20.564129127451551</v>
      </c>
      <c r="F35" s="2">
        <v>22.456865705260448</v>
      </c>
      <c r="G35" s="138">
        <v>19.366710917842401</v>
      </c>
      <c r="H35" s="170">
        <v>21.96</v>
      </c>
      <c r="I35" s="170">
        <v>21.3</v>
      </c>
      <c r="J35" s="171">
        <v>24.68</v>
      </c>
      <c r="K35" s="172">
        <v>23.17</v>
      </c>
    </row>
    <row r="36" spans="1:11" x14ac:dyDescent="0.25">
      <c r="A36" s="168" t="s">
        <v>10</v>
      </c>
      <c r="B36" s="169" t="s">
        <v>146</v>
      </c>
      <c r="C36" s="138">
        <v>15.84222915811025</v>
      </c>
      <c r="D36" s="2">
        <v>16.303785126328052</v>
      </c>
      <c r="E36" s="138">
        <v>17.061206669394601</v>
      </c>
      <c r="F36" s="2">
        <v>20.753771044803301</v>
      </c>
      <c r="G36" s="138">
        <v>19.1318676615981</v>
      </c>
      <c r="H36" s="170">
        <v>20.23</v>
      </c>
      <c r="I36" s="170">
        <v>20.05</v>
      </c>
      <c r="J36" s="171">
        <v>21.48</v>
      </c>
      <c r="K36" s="172">
        <v>19.73</v>
      </c>
    </row>
    <row r="37" spans="1:11" x14ac:dyDescent="0.25">
      <c r="A37" s="168" t="s">
        <v>10</v>
      </c>
      <c r="B37" s="169" t="s">
        <v>15</v>
      </c>
      <c r="C37" s="138">
        <v>25.330030295141448</v>
      </c>
      <c r="D37" s="2">
        <v>26.663482199999748</v>
      </c>
      <c r="E37" s="138">
        <v>27.487917043833299</v>
      </c>
      <c r="F37" s="2">
        <v>31.0295215307547</v>
      </c>
      <c r="G37" s="138">
        <v>26.158998183435049</v>
      </c>
      <c r="H37" s="170">
        <v>28.57</v>
      </c>
      <c r="I37" s="170">
        <v>28.22</v>
      </c>
      <c r="J37" s="171">
        <v>32.83</v>
      </c>
      <c r="K37" s="172">
        <v>30.25</v>
      </c>
    </row>
    <row r="38" spans="1:11" x14ac:dyDescent="0.25">
      <c r="A38" s="163" t="s">
        <v>10</v>
      </c>
      <c r="B38" s="164" t="s">
        <v>145</v>
      </c>
      <c r="C38" s="133">
        <v>22.329423264248248</v>
      </c>
      <c r="D38" s="132">
        <v>25.7816754513183</v>
      </c>
      <c r="E38" s="133">
        <v>26.987207783361249</v>
      </c>
      <c r="F38" s="132">
        <v>24.536956013159802</v>
      </c>
      <c r="G38" s="133">
        <v>24.129632381671549</v>
      </c>
      <c r="H38" s="165">
        <v>27.56</v>
      </c>
      <c r="I38" s="165">
        <v>21.29</v>
      </c>
      <c r="J38" s="166">
        <v>26.18</v>
      </c>
      <c r="K38" s="167">
        <v>25.29</v>
      </c>
    </row>
    <row r="39" spans="1:11" x14ac:dyDescent="0.25">
      <c r="A39" s="168" t="s">
        <v>10</v>
      </c>
      <c r="B39" s="169" t="s">
        <v>146</v>
      </c>
      <c r="C39" s="138">
        <v>15.627482931537351</v>
      </c>
      <c r="D39" s="2">
        <v>17.315194336082801</v>
      </c>
      <c r="E39" s="138">
        <v>18.647952954858553</v>
      </c>
      <c r="F39" s="2">
        <v>22.012114252607951</v>
      </c>
      <c r="G39" s="138">
        <v>19.960732261562651</v>
      </c>
      <c r="H39" s="170">
        <v>21.6</v>
      </c>
      <c r="I39" s="170">
        <v>21.14</v>
      </c>
      <c r="J39" s="171">
        <v>16.32</v>
      </c>
      <c r="K39" s="172">
        <v>21.24</v>
      </c>
    </row>
    <row r="40" spans="1:11" x14ac:dyDescent="0.25">
      <c r="A40" s="173" t="s">
        <v>10</v>
      </c>
      <c r="B40" s="174" t="s">
        <v>15</v>
      </c>
      <c r="C40" s="143">
        <v>25.10889935325115</v>
      </c>
      <c r="D40" s="142">
        <v>26.0620297618451</v>
      </c>
      <c r="E40" s="143">
        <v>27.472840707530199</v>
      </c>
      <c r="F40" s="142">
        <v>27.706763508323299</v>
      </c>
      <c r="G40" s="143">
        <v>23.466499978587851</v>
      </c>
      <c r="H40" s="175">
        <v>27.05</v>
      </c>
      <c r="I40" s="175">
        <v>25.05</v>
      </c>
      <c r="J40" s="176">
        <v>22.54</v>
      </c>
      <c r="K40" s="177">
        <v>28.26</v>
      </c>
    </row>
    <row r="41" spans="1:11" x14ac:dyDescent="0.25">
      <c r="A41" s="168" t="s">
        <v>10</v>
      </c>
      <c r="B41" s="169" t="s">
        <v>145</v>
      </c>
      <c r="C41" s="138">
        <v>20.573944466161301</v>
      </c>
      <c r="D41" s="2">
        <v>20.334045085815802</v>
      </c>
      <c r="E41" s="138">
        <v>19.541719716809201</v>
      </c>
      <c r="F41" s="2">
        <v>22.2378816758692</v>
      </c>
      <c r="G41" s="138">
        <v>18.22444650386565</v>
      </c>
      <c r="H41" s="170">
        <v>20.38</v>
      </c>
      <c r="I41" s="170">
        <v>21.03</v>
      </c>
      <c r="J41" s="171">
        <v>23.65</v>
      </c>
      <c r="K41" s="172">
        <v>22.84</v>
      </c>
    </row>
    <row r="42" spans="1:11" x14ac:dyDescent="0.25">
      <c r="A42" s="168" t="s">
        <v>10</v>
      </c>
      <c r="B42" s="169" t="s">
        <v>146</v>
      </c>
      <c r="C42" s="138">
        <v>15.122657392231101</v>
      </c>
      <c r="D42" s="2">
        <v>14.816427787677249</v>
      </c>
      <c r="E42" s="138">
        <v>16.325431520222452</v>
      </c>
      <c r="F42" s="2">
        <v>20.22816587604655</v>
      </c>
      <c r="G42" s="138">
        <v>18.0661430266026</v>
      </c>
      <c r="H42" s="170">
        <v>19.98</v>
      </c>
      <c r="I42" s="170">
        <v>19.57</v>
      </c>
      <c r="J42" s="171">
        <v>20.72</v>
      </c>
      <c r="K42" s="172">
        <v>18.899999999999999</v>
      </c>
    </row>
    <row r="43" spans="1:11" x14ac:dyDescent="0.25">
      <c r="A43" s="168" t="s">
        <v>10</v>
      </c>
      <c r="B43" s="169" t="s">
        <v>15</v>
      </c>
      <c r="C43" s="138">
        <v>21.074509247825048</v>
      </c>
      <c r="D43" s="2">
        <v>21.53390827043545</v>
      </c>
      <c r="E43" s="138">
        <v>22.837213436335599</v>
      </c>
      <c r="F43" s="2">
        <v>26.272278926418451</v>
      </c>
      <c r="G43" s="138">
        <v>20.349590257597399</v>
      </c>
      <c r="H43" s="170">
        <v>24.52</v>
      </c>
      <c r="I43" s="170">
        <v>23.66</v>
      </c>
      <c r="J43" s="171">
        <v>26.77</v>
      </c>
      <c r="K43" s="172">
        <v>25.68</v>
      </c>
    </row>
    <row r="44" spans="1:11" x14ac:dyDescent="0.25">
      <c r="A44" s="163" t="s">
        <v>10</v>
      </c>
      <c r="B44" s="164" t="s">
        <v>145</v>
      </c>
      <c r="C44" s="133">
        <v>20.029341902235998</v>
      </c>
      <c r="D44" s="132">
        <v>21.251122104137899</v>
      </c>
      <c r="E44" s="133">
        <v>20.022689384851549</v>
      </c>
      <c r="F44" s="132">
        <v>23.337058017634199</v>
      </c>
      <c r="G44" s="133">
        <v>19.845920525498052</v>
      </c>
      <c r="H44" s="165">
        <v>22.14</v>
      </c>
      <c r="I44" s="165">
        <v>21.86</v>
      </c>
      <c r="J44" s="166">
        <v>26.1</v>
      </c>
      <c r="K44" s="167">
        <v>24.44</v>
      </c>
    </row>
    <row r="45" spans="1:11" x14ac:dyDescent="0.25">
      <c r="A45" s="168" t="s">
        <v>10</v>
      </c>
      <c r="B45" s="169" t="s">
        <v>146</v>
      </c>
      <c r="C45" s="138">
        <v>16.365065828084148</v>
      </c>
      <c r="D45" s="2">
        <v>16.36612449698675</v>
      </c>
      <c r="E45" s="138">
        <v>16.938617871772202</v>
      </c>
      <c r="F45" s="2">
        <v>22.602732513832052</v>
      </c>
      <c r="G45" s="138">
        <v>20.140641268390297</v>
      </c>
      <c r="H45" s="170">
        <v>22.18</v>
      </c>
      <c r="I45" s="170">
        <v>20.94</v>
      </c>
      <c r="J45" s="171">
        <v>22.21</v>
      </c>
      <c r="K45" s="172">
        <v>20.94</v>
      </c>
    </row>
    <row r="46" spans="1:11" x14ac:dyDescent="0.25">
      <c r="A46" s="173" t="s">
        <v>10</v>
      </c>
      <c r="B46" s="174" t="s">
        <v>15</v>
      </c>
      <c r="C46" s="143">
        <v>27.791782834235647</v>
      </c>
      <c r="D46" s="142">
        <v>28.140961821824497</v>
      </c>
      <c r="E46" s="143">
        <v>28.568930209637749</v>
      </c>
      <c r="F46" s="142">
        <v>33.276924338984855</v>
      </c>
      <c r="G46" s="143">
        <v>27.492808149017399</v>
      </c>
      <c r="H46" s="175">
        <v>30.74</v>
      </c>
      <c r="I46" s="175">
        <v>30.39</v>
      </c>
      <c r="J46" s="176">
        <v>28.34</v>
      </c>
      <c r="K46" s="177">
        <v>30.32</v>
      </c>
    </row>
    <row r="47" spans="1:11" x14ac:dyDescent="0.25">
      <c r="A47" s="168" t="s">
        <v>10</v>
      </c>
      <c r="B47" s="169" t="s">
        <v>145</v>
      </c>
      <c r="C47" s="138">
        <v>30.489604324436751</v>
      </c>
      <c r="D47" s="2">
        <v>31.843000209578499</v>
      </c>
      <c r="E47" s="138">
        <v>32.025732740818995</v>
      </c>
      <c r="F47" s="2">
        <v>29.849327447935948</v>
      </c>
      <c r="G47" s="138">
        <v>31.085321477893501</v>
      </c>
      <c r="H47" s="170">
        <v>33.01</v>
      </c>
      <c r="I47" s="170">
        <v>29.31</v>
      </c>
      <c r="J47" s="171">
        <v>38.78</v>
      </c>
      <c r="K47" s="172">
        <v>31.47</v>
      </c>
    </row>
    <row r="48" spans="1:11" x14ac:dyDescent="0.25">
      <c r="A48" s="168" t="s">
        <v>10</v>
      </c>
      <c r="B48" s="169" t="s">
        <v>146</v>
      </c>
      <c r="C48" s="138">
        <v>22.063494034474552</v>
      </c>
      <c r="D48" s="2">
        <v>24.139893690359251</v>
      </c>
      <c r="E48" s="138">
        <v>26.8011133738712</v>
      </c>
      <c r="F48" s="2">
        <v>23.174145558866499</v>
      </c>
      <c r="G48" s="138">
        <v>27.026285609869653</v>
      </c>
      <c r="H48" s="170">
        <v>30.9</v>
      </c>
      <c r="I48" s="170">
        <v>22.27</v>
      </c>
      <c r="J48" s="171">
        <v>26</v>
      </c>
      <c r="K48" s="172">
        <v>25.44</v>
      </c>
    </row>
    <row r="49" spans="1:11" x14ac:dyDescent="0.25">
      <c r="A49" s="168" t="s">
        <v>10</v>
      </c>
      <c r="B49" s="169" t="s">
        <v>15</v>
      </c>
      <c r="C49" s="138">
        <v>26.856793689393701</v>
      </c>
      <c r="D49" s="2">
        <v>27.893072374199399</v>
      </c>
      <c r="E49" s="138">
        <v>29.915859776591752</v>
      </c>
      <c r="F49" s="2">
        <v>30.196064722983401</v>
      </c>
      <c r="G49" s="138">
        <v>27.14727937348465</v>
      </c>
      <c r="H49" s="170">
        <v>30.62</v>
      </c>
      <c r="I49" s="170">
        <v>27.1</v>
      </c>
      <c r="J49" s="171">
        <v>29.47</v>
      </c>
      <c r="K49" s="172">
        <v>30.72</v>
      </c>
    </row>
    <row r="50" spans="1:11" x14ac:dyDescent="0.25">
      <c r="A50" s="130" t="s">
        <v>23</v>
      </c>
      <c r="B50" s="164" t="s">
        <v>145</v>
      </c>
      <c r="C50" s="133">
        <v>22.100818161930249</v>
      </c>
      <c r="D50" s="132">
        <v>24.667399313308351</v>
      </c>
      <c r="E50" s="133">
        <v>25.6688751115705</v>
      </c>
      <c r="F50" s="132">
        <v>24.719096255101199</v>
      </c>
      <c r="G50" s="133">
        <v>23.769942659496699</v>
      </c>
      <c r="H50" s="165">
        <v>27.1</v>
      </c>
      <c r="I50" s="165">
        <v>23.17</v>
      </c>
      <c r="J50" s="166">
        <v>25.46</v>
      </c>
      <c r="K50" s="167">
        <v>25.56</v>
      </c>
    </row>
    <row r="51" spans="1:11" x14ac:dyDescent="0.25">
      <c r="A51" s="136" t="s">
        <v>23</v>
      </c>
      <c r="B51" s="169" t="s">
        <v>146</v>
      </c>
      <c r="C51" s="138">
        <v>15.907585597021651</v>
      </c>
      <c r="D51" s="2">
        <v>16.139633439934649</v>
      </c>
      <c r="E51" s="138">
        <v>16.622092250411953</v>
      </c>
      <c r="F51" s="2">
        <v>21.68564082395255</v>
      </c>
      <c r="G51" s="138">
        <v>18.663643110573251</v>
      </c>
      <c r="H51" s="170">
        <v>20.309999999999999</v>
      </c>
      <c r="I51" s="170">
        <v>27.24</v>
      </c>
      <c r="J51" s="171">
        <v>26.8</v>
      </c>
      <c r="K51" s="172">
        <v>24.37</v>
      </c>
    </row>
    <row r="52" spans="1:11" x14ac:dyDescent="0.25">
      <c r="A52" s="140" t="s">
        <v>23</v>
      </c>
      <c r="B52" s="174" t="s">
        <v>15</v>
      </c>
      <c r="C52" s="143">
        <v>24.680436343333348</v>
      </c>
      <c r="D52" s="142">
        <v>25.435337097366549</v>
      </c>
      <c r="E52" s="143">
        <v>26.768729628084898</v>
      </c>
      <c r="F52" s="142">
        <v>29.566304014454449</v>
      </c>
      <c r="G52" s="143">
        <v>23.516823215869699</v>
      </c>
      <c r="H52" s="175">
        <v>28.65</v>
      </c>
      <c r="I52" s="175">
        <v>20.7</v>
      </c>
      <c r="J52" s="176">
        <v>27.27</v>
      </c>
      <c r="K52" s="177">
        <v>24.46</v>
      </c>
    </row>
    <row r="53" spans="1:11" x14ac:dyDescent="0.25">
      <c r="A53" s="136" t="s">
        <v>23</v>
      </c>
      <c r="B53" s="169" t="s">
        <v>145</v>
      </c>
      <c r="C53" s="138">
        <v>18.63675309553555</v>
      </c>
      <c r="D53" s="2">
        <v>20.163566099647802</v>
      </c>
      <c r="E53" s="138">
        <v>20.355334973464203</v>
      </c>
      <c r="F53" s="2">
        <v>22.40796434782305</v>
      </c>
      <c r="G53" s="138">
        <v>19.101691292326201</v>
      </c>
      <c r="H53" s="170">
        <v>21.81</v>
      </c>
      <c r="I53" s="170">
        <v>20.65</v>
      </c>
      <c r="J53" s="171">
        <v>22.62</v>
      </c>
      <c r="K53" s="172">
        <v>24</v>
      </c>
    </row>
    <row r="54" spans="1:11" x14ac:dyDescent="0.25">
      <c r="A54" s="136" t="s">
        <v>23</v>
      </c>
      <c r="B54" s="169" t="s">
        <v>146</v>
      </c>
      <c r="C54" s="138">
        <v>15.025192620961601</v>
      </c>
      <c r="D54" s="2">
        <v>14.98608012574705</v>
      </c>
      <c r="E54" s="138">
        <v>16.008008222613199</v>
      </c>
      <c r="F54" s="2">
        <v>21.041287953964101</v>
      </c>
      <c r="G54" s="138">
        <v>18.225125634063001</v>
      </c>
      <c r="H54" s="170">
        <v>19.79</v>
      </c>
      <c r="I54" s="170">
        <v>19.66</v>
      </c>
      <c r="J54" s="171">
        <v>20.61</v>
      </c>
      <c r="K54" s="172">
        <v>18.239999999999998</v>
      </c>
    </row>
    <row r="55" spans="1:11" x14ac:dyDescent="0.25">
      <c r="A55" s="136" t="s">
        <v>23</v>
      </c>
      <c r="B55" s="169" t="s">
        <v>15</v>
      </c>
      <c r="C55" s="138">
        <v>24.118959579206951</v>
      </c>
      <c r="D55" s="2">
        <v>25.594712197500549</v>
      </c>
      <c r="E55" s="138">
        <v>25.856608800376897</v>
      </c>
      <c r="F55" s="2">
        <v>29.448887205972802</v>
      </c>
      <c r="G55" s="138">
        <v>24.87945637991195</v>
      </c>
      <c r="H55" s="170">
        <v>28.11</v>
      </c>
      <c r="I55" s="170">
        <v>27.38</v>
      </c>
      <c r="J55" s="171">
        <v>26.8</v>
      </c>
      <c r="K55" s="172">
        <v>30.44</v>
      </c>
    </row>
    <row r="56" spans="1:11" x14ac:dyDescent="0.25">
      <c r="A56" s="130" t="s">
        <v>23</v>
      </c>
      <c r="B56" s="164" t="s">
        <v>145</v>
      </c>
      <c r="C56" s="133">
        <v>22.846000389837499</v>
      </c>
      <c r="D56" s="132">
        <v>22.8539108344137</v>
      </c>
      <c r="E56" s="133">
        <v>22.61136193880775</v>
      </c>
      <c r="F56" s="132">
        <v>26.393393492376248</v>
      </c>
      <c r="G56" s="133">
        <v>22.609641337571198</v>
      </c>
      <c r="H56" s="165">
        <v>26.15</v>
      </c>
      <c r="I56" s="165">
        <v>25.43</v>
      </c>
      <c r="J56" s="166">
        <v>29.39</v>
      </c>
      <c r="K56" s="167">
        <v>24.98</v>
      </c>
    </row>
    <row r="57" spans="1:11" x14ac:dyDescent="0.25">
      <c r="A57" s="136" t="s">
        <v>23</v>
      </c>
      <c r="B57" s="169" t="s">
        <v>146</v>
      </c>
      <c r="C57" s="138">
        <v>15.554024884635801</v>
      </c>
      <c r="D57" s="2">
        <v>15.5898409876357</v>
      </c>
      <c r="E57" s="138">
        <v>16.556513366733398</v>
      </c>
      <c r="F57" s="2">
        <v>20.922244083098199</v>
      </c>
      <c r="G57" s="138">
        <v>18.453580829819899</v>
      </c>
      <c r="H57" s="170">
        <v>20.309999999999999</v>
      </c>
      <c r="I57" s="170">
        <v>20.47</v>
      </c>
      <c r="J57" s="171">
        <v>20.69</v>
      </c>
      <c r="K57" s="172">
        <v>19.36</v>
      </c>
    </row>
    <row r="58" spans="1:11" x14ac:dyDescent="0.25">
      <c r="A58" s="140" t="s">
        <v>23</v>
      </c>
      <c r="B58" s="174" t="s">
        <v>15</v>
      </c>
      <c r="C58" s="143">
        <v>23.9639059572335</v>
      </c>
      <c r="D58" s="142">
        <v>24.639921528181901</v>
      </c>
      <c r="E58" s="143">
        <v>24.896554903006951</v>
      </c>
      <c r="F58" s="142">
        <v>30.309502481296498</v>
      </c>
      <c r="G58" s="143">
        <v>24.632798521654102</v>
      </c>
      <c r="H58" s="175">
        <v>28.63</v>
      </c>
      <c r="I58" s="175">
        <v>27.7</v>
      </c>
      <c r="J58" s="176">
        <v>30.63</v>
      </c>
      <c r="K58" s="177">
        <v>28.17</v>
      </c>
    </row>
    <row r="59" spans="1:11" x14ac:dyDescent="0.25">
      <c r="A59" s="136" t="s">
        <v>23</v>
      </c>
      <c r="B59" s="169" t="s">
        <v>145</v>
      </c>
      <c r="C59" s="138">
        <v>28.2669305517583</v>
      </c>
      <c r="D59" s="2">
        <v>29.771992665583198</v>
      </c>
      <c r="E59" s="138">
        <v>30.2357775092532</v>
      </c>
      <c r="F59" s="2">
        <v>26.554806887974649</v>
      </c>
      <c r="G59" s="138">
        <v>28.924043909748299</v>
      </c>
      <c r="H59" s="170">
        <v>32.32</v>
      </c>
      <c r="I59" s="170">
        <v>25.18</v>
      </c>
      <c r="J59" s="171">
        <v>24.61</v>
      </c>
      <c r="K59" s="172">
        <v>30.58</v>
      </c>
    </row>
    <row r="60" spans="1:11" x14ac:dyDescent="0.25">
      <c r="A60" s="136" t="s">
        <v>23</v>
      </c>
      <c r="B60" s="169" t="s">
        <v>146</v>
      </c>
      <c r="C60" s="138">
        <v>16.855633678114948</v>
      </c>
      <c r="D60" s="2">
        <v>17.799952778759703</v>
      </c>
      <c r="E60" s="138">
        <v>19.010556405146101</v>
      </c>
      <c r="F60" s="2">
        <v>22.627154594619949</v>
      </c>
      <c r="G60" s="138">
        <v>21.766677039212251</v>
      </c>
      <c r="H60" s="170">
        <v>24.23</v>
      </c>
      <c r="I60" s="170">
        <v>21.12</v>
      </c>
      <c r="J60" s="171">
        <v>20.68</v>
      </c>
      <c r="K60" s="172">
        <v>21.42</v>
      </c>
    </row>
    <row r="61" spans="1:11" x14ac:dyDescent="0.25">
      <c r="A61" s="136" t="s">
        <v>23</v>
      </c>
      <c r="B61" s="169" t="s">
        <v>15</v>
      </c>
      <c r="C61" s="138">
        <v>29.438856248887049</v>
      </c>
      <c r="D61" s="2">
        <v>31.0996520715331</v>
      </c>
      <c r="E61" s="138">
        <v>31.789650333563952</v>
      </c>
      <c r="F61" s="2">
        <v>35.051610081658055</v>
      </c>
      <c r="G61" s="138">
        <v>32.205246222099802</v>
      </c>
      <c r="H61" s="170">
        <v>33.75</v>
      </c>
      <c r="I61" s="170">
        <v>31.77</v>
      </c>
      <c r="J61" s="171">
        <v>37.56</v>
      </c>
      <c r="K61" s="172">
        <v>33.11</v>
      </c>
    </row>
    <row r="62" spans="1:11" x14ac:dyDescent="0.25">
      <c r="A62" s="130" t="s">
        <v>23</v>
      </c>
      <c r="B62" s="164" t="s">
        <v>145</v>
      </c>
      <c r="C62" s="133">
        <v>23.982911515385048</v>
      </c>
      <c r="D62" s="132">
        <v>23.174025608885</v>
      </c>
      <c r="E62" s="133">
        <v>23.080352889989953</v>
      </c>
      <c r="F62" s="132">
        <v>28.100547694632802</v>
      </c>
      <c r="G62" s="133">
        <v>24.366074667649698</v>
      </c>
      <c r="H62" s="165">
        <v>25.75</v>
      </c>
      <c r="I62" s="165">
        <v>26.33</v>
      </c>
      <c r="J62" s="166">
        <v>23.32</v>
      </c>
      <c r="K62" s="167">
        <v>26.92</v>
      </c>
    </row>
    <row r="63" spans="1:11" x14ac:dyDescent="0.25">
      <c r="A63" s="136" t="s">
        <v>23</v>
      </c>
      <c r="B63" s="169" t="s">
        <v>146</v>
      </c>
      <c r="C63" s="138">
        <v>16.697974555715298</v>
      </c>
      <c r="D63" s="2">
        <v>18.992900645421898</v>
      </c>
      <c r="E63" s="138">
        <v>20.0615409349837</v>
      </c>
      <c r="F63" s="2">
        <v>23.02553765663205</v>
      </c>
      <c r="G63" s="138">
        <v>22.196189056663798</v>
      </c>
      <c r="H63" s="170">
        <v>24.35</v>
      </c>
      <c r="I63" s="170">
        <v>22</v>
      </c>
      <c r="J63" s="171">
        <v>24.39</v>
      </c>
      <c r="K63" s="172">
        <v>20.64</v>
      </c>
    </row>
    <row r="64" spans="1:11" x14ac:dyDescent="0.25">
      <c r="A64" s="140" t="s">
        <v>23</v>
      </c>
      <c r="B64" s="174" t="s">
        <v>15</v>
      </c>
      <c r="C64" s="143">
        <v>27.7908766807356</v>
      </c>
      <c r="D64" s="142">
        <v>29.024147999272948</v>
      </c>
      <c r="E64" s="143">
        <v>31.071880180593048</v>
      </c>
      <c r="F64" s="142">
        <v>31.2026303510684</v>
      </c>
      <c r="G64" s="143">
        <v>28.095243653265001</v>
      </c>
      <c r="H64" s="175">
        <v>32.39</v>
      </c>
      <c r="I64" s="175">
        <v>27.88</v>
      </c>
      <c r="J64" s="176">
        <v>24.7</v>
      </c>
      <c r="K64" s="177">
        <v>29.95</v>
      </c>
    </row>
    <row r="65" spans="1:11" x14ac:dyDescent="0.25">
      <c r="A65" s="136" t="s">
        <v>23</v>
      </c>
      <c r="B65" s="169" t="s">
        <v>145</v>
      </c>
      <c r="C65" s="138">
        <v>26.548404277795051</v>
      </c>
      <c r="D65" s="2">
        <v>28.907664489701901</v>
      </c>
      <c r="E65" s="138">
        <v>28.346161361439002</v>
      </c>
      <c r="F65" s="2">
        <v>25.455893679505451</v>
      </c>
      <c r="G65" s="138">
        <v>25.946921440559997</v>
      </c>
      <c r="H65" s="170">
        <v>31.09</v>
      </c>
      <c r="I65" s="170">
        <v>23.52</v>
      </c>
      <c r="J65" s="171">
        <v>23.34</v>
      </c>
      <c r="K65" s="172">
        <v>29.07</v>
      </c>
    </row>
    <row r="66" spans="1:11" x14ac:dyDescent="0.25">
      <c r="A66" s="136" t="s">
        <v>23</v>
      </c>
      <c r="B66" s="169" t="s">
        <v>146</v>
      </c>
      <c r="C66" s="138">
        <v>18.4863541190423</v>
      </c>
      <c r="D66" s="2">
        <v>18.280240415552647</v>
      </c>
      <c r="E66" s="138">
        <v>18.726070795889399</v>
      </c>
      <c r="F66" s="2">
        <v>21.192468258600698</v>
      </c>
      <c r="G66" s="138">
        <v>20.640199576777452</v>
      </c>
      <c r="H66" s="170">
        <v>23.5</v>
      </c>
      <c r="I66" s="170">
        <v>20.2</v>
      </c>
      <c r="J66" s="171">
        <v>24.24</v>
      </c>
      <c r="K66" s="172">
        <v>21.51</v>
      </c>
    </row>
    <row r="67" spans="1:11" x14ac:dyDescent="0.25">
      <c r="A67" s="136" t="s">
        <v>23</v>
      </c>
      <c r="B67" s="169" t="s">
        <v>15</v>
      </c>
      <c r="C67" s="138">
        <v>25.892402260330449</v>
      </c>
      <c r="D67" s="2">
        <v>25.953586402124451</v>
      </c>
      <c r="E67" s="138">
        <v>26.35380217659225</v>
      </c>
      <c r="F67" s="2">
        <v>29.3644557724541</v>
      </c>
      <c r="G67" s="138">
        <v>25.808002396630801</v>
      </c>
      <c r="H67" s="170">
        <v>30.41</v>
      </c>
      <c r="I67" s="170">
        <v>26.12</v>
      </c>
      <c r="J67" s="171">
        <v>33.19</v>
      </c>
      <c r="K67" s="172">
        <v>30.1</v>
      </c>
    </row>
    <row r="68" spans="1:11" x14ac:dyDescent="0.25">
      <c r="A68" s="178" t="s">
        <v>33</v>
      </c>
      <c r="B68" s="164" t="s">
        <v>145</v>
      </c>
      <c r="C68" s="133">
        <v>22.10469419349235</v>
      </c>
      <c r="D68" s="132">
        <v>22.648264429471197</v>
      </c>
      <c r="E68" s="133">
        <v>21.99622249785995</v>
      </c>
      <c r="F68" s="132">
        <v>25.51663054994215</v>
      </c>
      <c r="G68" s="133">
        <v>20.841778297670402</v>
      </c>
      <c r="H68" s="165">
        <v>26.2</v>
      </c>
      <c r="I68" s="165">
        <v>24.09</v>
      </c>
      <c r="J68" s="166">
        <v>28.84</v>
      </c>
      <c r="K68" s="167">
        <v>25.05</v>
      </c>
    </row>
    <row r="69" spans="1:11" x14ac:dyDescent="0.25">
      <c r="A69" s="179" t="s">
        <v>33</v>
      </c>
      <c r="B69" s="169" t="s">
        <v>146</v>
      </c>
      <c r="C69" s="138">
        <v>17.029067984885749</v>
      </c>
      <c r="D69" s="2">
        <v>20.609978082701502</v>
      </c>
      <c r="E69" s="138">
        <v>18.972204279325801</v>
      </c>
      <c r="F69" s="2">
        <v>22.1233566771038</v>
      </c>
      <c r="G69" s="138">
        <v>20.359294036999501</v>
      </c>
      <c r="H69" s="170">
        <v>22.84</v>
      </c>
      <c r="I69" s="170">
        <v>20.97</v>
      </c>
      <c r="J69" s="171">
        <v>22.06</v>
      </c>
      <c r="K69" s="172">
        <v>20.420000000000002</v>
      </c>
    </row>
    <row r="70" spans="1:11" x14ac:dyDescent="0.25">
      <c r="A70" s="180" t="s">
        <v>33</v>
      </c>
      <c r="B70" s="174" t="s">
        <v>15</v>
      </c>
      <c r="C70" s="143">
        <v>23.815319701060101</v>
      </c>
      <c r="D70" s="142">
        <v>25.938747481368349</v>
      </c>
      <c r="E70" s="143">
        <v>26.435133928184953</v>
      </c>
      <c r="F70" s="142">
        <v>28.55461712095795</v>
      </c>
      <c r="G70" s="143">
        <v>23.819415728292501</v>
      </c>
      <c r="H70" s="175">
        <v>29.64</v>
      </c>
      <c r="I70" s="175">
        <v>25.74</v>
      </c>
      <c r="J70" s="176">
        <v>31.02</v>
      </c>
      <c r="K70" s="177">
        <v>27.71</v>
      </c>
    </row>
    <row r="71" spans="1:11" x14ac:dyDescent="0.25">
      <c r="A71" s="179" t="s">
        <v>33</v>
      </c>
      <c r="B71" s="169" t="s">
        <v>145</v>
      </c>
      <c r="C71" s="138">
        <v>26.631454411079599</v>
      </c>
      <c r="D71" s="2">
        <v>20.685084937546748</v>
      </c>
      <c r="E71" s="138">
        <v>20.280648584622199</v>
      </c>
      <c r="F71" s="2">
        <v>22.395414892250102</v>
      </c>
      <c r="G71" s="138">
        <v>18.991308036192201</v>
      </c>
      <c r="H71" s="170">
        <v>21.53</v>
      </c>
      <c r="I71" s="170">
        <v>20.49</v>
      </c>
      <c r="J71" s="171">
        <v>20.3</v>
      </c>
      <c r="K71" s="172">
        <v>23.45</v>
      </c>
    </row>
    <row r="72" spans="1:11" x14ac:dyDescent="0.25">
      <c r="A72" s="179" t="s">
        <v>33</v>
      </c>
      <c r="B72" s="169" t="s">
        <v>146</v>
      </c>
      <c r="C72" s="138">
        <v>17.573931711155801</v>
      </c>
      <c r="D72" s="2">
        <v>16.315130029245402</v>
      </c>
      <c r="E72" s="138">
        <v>17.8491352411388</v>
      </c>
      <c r="F72" s="2">
        <v>19.784712886413651</v>
      </c>
      <c r="G72" s="138">
        <v>18.457148865336002</v>
      </c>
      <c r="H72" s="170">
        <v>20.05</v>
      </c>
      <c r="I72" s="170">
        <v>20.62</v>
      </c>
      <c r="J72" s="171">
        <v>18.43</v>
      </c>
      <c r="K72" s="172">
        <v>18.18</v>
      </c>
    </row>
    <row r="73" spans="1:11" x14ac:dyDescent="0.25">
      <c r="A73" s="179" t="s">
        <v>33</v>
      </c>
      <c r="B73" s="169" t="s">
        <v>15</v>
      </c>
      <c r="C73" s="138">
        <v>20.723406357806049</v>
      </c>
      <c r="D73" s="2">
        <v>29.62793388247945</v>
      </c>
      <c r="E73" s="138">
        <v>28.627059472213148</v>
      </c>
      <c r="F73" s="2">
        <v>21.365583568224249</v>
      </c>
      <c r="G73" s="138">
        <v>26.2823493946828</v>
      </c>
      <c r="H73" s="170">
        <v>31.05</v>
      </c>
      <c r="I73" s="170">
        <v>29.06</v>
      </c>
      <c r="J73" s="171">
        <v>26.52</v>
      </c>
      <c r="K73" s="172">
        <v>30.56</v>
      </c>
    </row>
    <row r="74" spans="1:11" x14ac:dyDescent="0.25">
      <c r="A74" s="178" t="s">
        <v>33</v>
      </c>
      <c r="B74" s="164" t="s">
        <v>145</v>
      </c>
      <c r="C74" s="133">
        <v>21.619429508129649</v>
      </c>
      <c r="D74" s="132">
        <v>21.821769898135951</v>
      </c>
      <c r="E74" s="133">
        <v>21.790662478892997</v>
      </c>
      <c r="F74" s="132">
        <v>21.9383306584796</v>
      </c>
      <c r="G74" s="133">
        <v>21.266208062759901</v>
      </c>
      <c r="H74" s="165">
        <v>25.08</v>
      </c>
      <c r="I74" s="165">
        <v>21.75</v>
      </c>
      <c r="J74" s="166">
        <v>24.81</v>
      </c>
      <c r="K74" s="167">
        <v>25.52</v>
      </c>
    </row>
    <row r="75" spans="1:11" x14ac:dyDescent="0.25">
      <c r="A75" s="179" t="s">
        <v>33</v>
      </c>
      <c r="B75" s="169" t="s">
        <v>146</v>
      </c>
      <c r="C75" s="138">
        <v>25.1802705031924</v>
      </c>
      <c r="D75" s="2">
        <v>25.112721034073552</v>
      </c>
      <c r="E75" s="138">
        <v>26.27243327739955</v>
      </c>
      <c r="F75" s="2">
        <v>32.56682647643985</v>
      </c>
      <c r="G75" s="138">
        <v>30.3230678183252</v>
      </c>
      <c r="H75" s="170">
        <v>30.84</v>
      </c>
      <c r="I75" s="170">
        <v>28.26</v>
      </c>
      <c r="J75" s="171">
        <v>20.67</v>
      </c>
      <c r="K75" s="172">
        <v>28.21</v>
      </c>
    </row>
    <row r="76" spans="1:11" x14ac:dyDescent="0.25">
      <c r="A76" s="180" t="s">
        <v>33</v>
      </c>
      <c r="B76" s="174" t="s">
        <v>15</v>
      </c>
      <c r="C76" s="143">
        <v>25.9301269387832</v>
      </c>
      <c r="D76" s="142">
        <v>25.969592575193303</v>
      </c>
      <c r="E76" s="143">
        <v>26.678983937338749</v>
      </c>
      <c r="F76" s="142">
        <v>28.203621539011152</v>
      </c>
      <c r="G76" s="143">
        <v>26.125971521535199</v>
      </c>
      <c r="H76" s="175">
        <v>30.7</v>
      </c>
      <c r="I76" s="175">
        <v>28.52</v>
      </c>
      <c r="J76" s="176">
        <v>27.27</v>
      </c>
      <c r="K76" s="177">
        <v>30.91</v>
      </c>
    </row>
    <row r="77" spans="1:11" x14ac:dyDescent="0.25">
      <c r="A77" s="179" t="s">
        <v>33</v>
      </c>
      <c r="B77" s="169" t="s">
        <v>145</v>
      </c>
      <c r="C77" s="138">
        <v>21.2684064435816</v>
      </c>
      <c r="D77" s="2">
        <v>23.511487099061398</v>
      </c>
      <c r="E77" s="138">
        <v>21.26840230339025</v>
      </c>
      <c r="F77" s="2">
        <v>23.772447475872802</v>
      </c>
      <c r="G77" s="138">
        <v>19.503083605463651</v>
      </c>
      <c r="H77" s="170">
        <v>24.33</v>
      </c>
      <c r="I77" s="170">
        <v>20.75</v>
      </c>
      <c r="J77" s="171">
        <v>18.809999999999999</v>
      </c>
      <c r="K77" s="172">
        <v>22.95</v>
      </c>
    </row>
    <row r="78" spans="1:11" x14ac:dyDescent="0.25">
      <c r="A78" s="179" t="s">
        <v>33</v>
      </c>
      <c r="B78" s="169" t="s">
        <v>146</v>
      </c>
      <c r="C78" s="138">
        <v>14.315032731328198</v>
      </c>
      <c r="D78" s="2">
        <v>16.1054553559784</v>
      </c>
      <c r="E78" s="138">
        <v>18.442391038735849</v>
      </c>
      <c r="F78" s="2">
        <v>31.794231568530648</v>
      </c>
      <c r="G78" s="138">
        <v>19.877836416740251</v>
      </c>
      <c r="H78" s="170">
        <v>23.87</v>
      </c>
      <c r="I78" s="170">
        <v>19.5</v>
      </c>
      <c r="J78" s="171">
        <v>16.46</v>
      </c>
      <c r="K78" s="172">
        <v>19.09</v>
      </c>
    </row>
    <row r="79" spans="1:11" x14ac:dyDescent="0.25">
      <c r="A79" s="179" t="s">
        <v>33</v>
      </c>
      <c r="B79" s="169" t="s">
        <v>15</v>
      </c>
      <c r="C79" s="138">
        <v>23.850102190904749</v>
      </c>
      <c r="D79" s="2">
        <v>24.200723734864049</v>
      </c>
      <c r="E79" s="138">
        <v>25.9069854510685</v>
      </c>
      <c r="F79" s="2">
        <v>27.027314056739051</v>
      </c>
      <c r="G79" s="138">
        <v>23.573441429976647</v>
      </c>
      <c r="H79" s="170">
        <v>30.6</v>
      </c>
      <c r="I79" s="170">
        <v>24.96</v>
      </c>
      <c r="J79" s="171">
        <v>22.86</v>
      </c>
      <c r="K79" s="172">
        <v>25.18</v>
      </c>
    </row>
    <row r="80" spans="1:11" x14ac:dyDescent="0.25">
      <c r="A80" s="178" t="s">
        <v>33</v>
      </c>
      <c r="B80" s="164" t="s">
        <v>145</v>
      </c>
      <c r="C80" s="133">
        <v>22.7315854191338</v>
      </c>
      <c r="D80" s="132">
        <v>22.411345884458349</v>
      </c>
      <c r="E80" s="133">
        <v>23.616674652946301</v>
      </c>
      <c r="F80" s="132">
        <v>24.5040682162705</v>
      </c>
      <c r="G80" s="133">
        <v>22.303739634366153</v>
      </c>
      <c r="H80" s="165">
        <v>27.45</v>
      </c>
      <c r="I80" s="165">
        <v>23.09</v>
      </c>
      <c r="J80" s="166">
        <v>25.68</v>
      </c>
      <c r="K80" s="167">
        <v>24.41</v>
      </c>
    </row>
    <row r="81" spans="1:12" x14ac:dyDescent="0.25">
      <c r="A81" s="179" t="s">
        <v>33</v>
      </c>
      <c r="B81" s="169" t="s">
        <v>146</v>
      </c>
      <c r="C81" s="138">
        <v>15.370422276535351</v>
      </c>
      <c r="D81" s="2">
        <v>15.60370562079455</v>
      </c>
      <c r="E81" s="138">
        <v>17.737087281133299</v>
      </c>
      <c r="F81" s="2">
        <v>20.500494182894698</v>
      </c>
      <c r="G81" s="138">
        <v>18.646513613337753</v>
      </c>
      <c r="H81" s="170">
        <v>21.52</v>
      </c>
      <c r="I81" s="170">
        <v>20.67</v>
      </c>
      <c r="J81" s="171">
        <v>17.690000000000001</v>
      </c>
      <c r="K81" s="172">
        <v>18.96</v>
      </c>
    </row>
    <row r="82" spans="1:12" x14ac:dyDescent="0.25">
      <c r="A82" s="180" t="s">
        <v>33</v>
      </c>
      <c r="B82" s="174" t="s">
        <v>15</v>
      </c>
      <c r="C82" s="143">
        <v>19.984183837235051</v>
      </c>
      <c r="D82" s="142">
        <v>20.062782862115199</v>
      </c>
      <c r="E82" s="143">
        <v>21.143863707110299</v>
      </c>
      <c r="F82" s="142">
        <v>23.844887127064098</v>
      </c>
      <c r="G82" s="143">
        <v>18.94865335003</v>
      </c>
      <c r="H82" s="175">
        <v>24.08</v>
      </c>
      <c r="I82" s="175">
        <v>22.29</v>
      </c>
      <c r="J82" s="176">
        <v>24.61</v>
      </c>
      <c r="K82" s="177">
        <v>23.76</v>
      </c>
    </row>
    <row r="83" spans="1:12" x14ac:dyDescent="0.25">
      <c r="A83" s="179" t="s">
        <v>33</v>
      </c>
      <c r="B83" s="169" t="s">
        <v>145</v>
      </c>
      <c r="C83" s="138">
        <v>17.776617007435902</v>
      </c>
      <c r="D83" s="2">
        <v>17.681129998281751</v>
      </c>
      <c r="E83" s="138">
        <v>19.4343706141917</v>
      </c>
      <c r="F83" s="2">
        <v>21.196347499134397</v>
      </c>
      <c r="G83" s="138">
        <v>17.757426833837499</v>
      </c>
      <c r="H83" s="170">
        <v>21.34</v>
      </c>
      <c r="I83" s="170">
        <v>19.75</v>
      </c>
      <c r="J83" s="171">
        <v>24.15</v>
      </c>
      <c r="K83" s="172">
        <v>21.75</v>
      </c>
    </row>
    <row r="84" spans="1:12" x14ac:dyDescent="0.25">
      <c r="A84" s="179" t="s">
        <v>33</v>
      </c>
      <c r="B84" s="169" t="s">
        <v>146</v>
      </c>
      <c r="C84" s="138">
        <v>15.7806863753509</v>
      </c>
      <c r="D84" s="2">
        <v>14.83690109185545</v>
      </c>
      <c r="E84" s="138">
        <v>16.87052954011445</v>
      </c>
      <c r="F84" s="2">
        <v>20.699943137323199</v>
      </c>
      <c r="G84" s="138">
        <v>18.755684047632052</v>
      </c>
      <c r="H84" s="170">
        <v>20.76</v>
      </c>
      <c r="I84" s="170">
        <v>19.25</v>
      </c>
      <c r="J84" s="171">
        <v>17.079999999999998</v>
      </c>
      <c r="K84" s="172">
        <v>18.45</v>
      </c>
    </row>
    <row r="85" spans="1:12" x14ac:dyDescent="0.25">
      <c r="A85" s="180" t="s">
        <v>33</v>
      </c>
      <c r="B85" s="174" t="s">
        <v>15</v>
      </c>
      <c r="C85" s="143">
        <v>20.240866409671952</v>
      </c>
      <c r="D85" s="142">
        <v>20.8230599760189</v>
      </c>
      <c r="E85" s="143">
        <v>22.230048931940701</v>
      </c>
      <c r="F85" s="142">
        <v>26.46743179853015</v>
      </c>
      <c r="G85" s="143">
        <v>21.999947830669299</v>
      </c>
      <c r="H85" s="175">
        <v>26.71</v>
      </c>
      <c r="I85" s="175">
        <v>24.18</v>
      </c>
      <c r="J85" s="176">
        <v>23.17</v>
      </c>
      <c r="K85" s="177">
        <v>25.59</v>
      </c>
    </row>
    <row r="88" spans="1:12" x14ac:dyDescent="0.25">
      <c r="A88" s="181" t="s">
        <v>104</v>
      </c>
      <c r="B88" s="182" t="s">
        <v>105</v>
      </c>
      <c r="C88" s="183" t="s">
        <v>2</v>
      </c>
      <c r="D88" s="127" t="s">
        <v>79</v>
      </c>
      <c r="E88" s="126" t="s">
        <v>83</v>
      </c>
      <c r="F88" s="127" t="s">
        <v>91</v>
      </c>
      <c r="G88" s="126" t="s">
        <v>149</v>
      </c>
      <c r="H88" s="127" t="s">
        <v>150</v>
      </c>
      <c r="I88" s="128" t="s">
        <v>121</v>
      </c>
      <c r="J88" s="129" t="s">
        <v>122</v>
      </c>
      <c r="K88" s="128" t="s">
        <v>101</v>
      </c>
      <c r="L88" s="162" t="s">
        <v>102</v>
      </c>
    </row>
    <row r="89" spans="1:12" x14ac:dyDescent="0.25">
      <c r="A89" s="163" t="s">
        <v>10</v>
      </c>
      <c r="B89" s="184" t="s">
        <v>144</v>
      </c>
      <c r="C89" s="185" t="s">
        <v>145</v>
      </c>
      <c r="D89" s="133">
        <v>19.841928426717651</v>
      </c>
      <c r="E89" s="132">
        <v>22.248228829350801</v>
      </c>
      <c r="F89" s="133">
        <v>22.294818925239401</v>
      </c>
      <c r="G89" s="132">
        <v>25.02922896484835</v>
      </c>
      <c r="H89" s="133">
        <v>21.953804088604102</v>
      </c>
      <c r="I89" s="166">
        <v>23.22</v>
      </c>
      <c r="J89" s="165">
        <v>23.32</v>
      </c>
      <c r="K89" s="166">
        <v>20.399999999999999</v>
      </c>
      <c r="L89" s="167">
        <v>25.02</v>
      </c>
    </row>
    <row r="90" spans="1:12" x14ac:dyDescent="0.25">
      <c r="A90" s="168" t="s">
        <v>10</v>
      </c>
      <c r="B90" s="186" t="s">
        <v>144</v>
      </c>
      <c r="C90" t="s">
        <v>145</v>
      </c>
      <c r="D90" s="138">
        <v>19.790779922612202</v>
      </c>
      <c r="E90" s="2">
        <v>20.35358997339625</v>
      </c>
      <c r="F90" s="138">
        <v>20.564129127451551</v>
      </c>
      <c r="G90" s="2">
        <v>22.456865705260448</v>
      </c>
      <c r="H90" s="138">
        <v>19.366710917842401</v>
      </c>
      <c r="I90" s="171">
        <v>21.25</v>
      </c>
      <c r="J90" s="170">
        <v>21.3</v>
      </c>
      <c r="K90" s="171">
        <v>24.68</v>
      </c>
      <c r="L90" s="172">
        <v>23.17</v>
      </c>
    </row>
    <row r="91" spans="1:12" x14ac:dyDescent="0.25">
      <c r="A91" s="173" t="s">
        <v>10</v>
      </c>
      <c r="B91" s="187" t="s">
        <v>144</v>
      </c>
      <c r="C91" s="188" t="s">
        <v>145</v>
      </c>
      <c r="D91" s="143">
        <v>22.329423264248248</v>
      </c>
      <c r="E91" s="142">
        <v>25.7816754513183</v>
      </c>
      <c r="F91" s="143">
        <v>26.987207783361249</v>
      </c>
      <c r="G91" s="142">
        <v>24.536956013159802</v>
      </c>
      <c r="H91" s="143">
        <v>24.129632381671549</v>
      </c>
      <c r="I91" s="176">
        <v>22.13</v>
      </c>
      <c r="J91" s="175">
        <v>21.29</v>
      </c>
      <c r="K91" s="176">
        <v>26.18</v>
      </c>
      <c r="L91" s="177">
        <v>25.29</v>
      </c>
    </row>
    <row r="92" spans="1:12" x14ac:dyDescent="0.25">
      <c r="A92" s="168" t="s">
        <v>10</v>
      </c>
      <c r="B92" s="186" t="s">
        <v>144</v>
      </c>
      <c r="C92" t="s">
        <v>146</v>
      </c>
      <c r="D92" s="138">
        <v>17.969882590244399</v>
      </c>
      <c r="E92" s="2">
        <v>17.074513499629752</v>
      </c>
      <c r="F92" s="138">
        <v>18.1432354975625</v>
      </c>
      <c r="G92" s="2">
        <v>22.429309878189798</v>
      </c>
      <c r="H92" s="138">
        <v>20.183704230410399</v>
      </c>
      <c r="I92" s="171">
        <v>21.35</v>
      </c>
      <c r="J92" s="170">
        <v>21.24</v>
      </c>
      <c r="K92" s="171">
        <v>22.44</v>
      </c>
      <c r="L92" s="172">
        <v>21.54</v>
      </c>
    </row>
    <row r="93" spans="1:12" x14ac:dyDescent="0.25">
      <c r="A93" s="168" t="s">
        <v>10</v>
      </c>
      <c r="B93" s="186" t="s">
        <v>144</v>
      </c>
      <c r="C93" t="s">
        <v>146</v>
      </c>
      <c r="D93" s="138">
        <v>15.84222915811025</v>
      </c>
      <c r="E93" s="2">
        <v>16.303785126328052</v>
      </c>
      <c r="F93" s="138">
        <v>17.061206669394601</v>
      </c>
      <c r="G93" s="2">
        <v>20.753771044803301</v>
      </c>
      <c r="H93" s="138">
        <v>19.1318676615981</v>
      </c>
      <c r="I93" s="171">
        <v>21.3</v>
      </c>
      <c r="J93" s="170">
        <v>20.05</v>
      </c>
      <c r="K93" s="171">
        <v>21.48</v>
      </c>
      <c r="L93" s="172">
        <v>19.73</v>
      </c>
    </row>
    <row r="94" spans="1:12" x14ac:dyDescent="0.25">
      <c r="A94" s="168" t="s">
        <v>10</v>
      </c>
      <c r="B94" s="186" t="s">
        <v>144</v>
      </c>
      <c r="C94" t="s">
        <v>146</v>
      </c>
      <c r="D94" s="138">
        <v>15.627482931537351</v>
      </c>
      <c r="E94" s="2">
        <v>17.315194336082801</v>
      </c>
      <c r="F94" s="138">
        <v>18.647952954858553</v>
      </c>
      <c r="G94" s="2">
        <v>22.012114252607951</v>
      </c>
      <c r="H94" s="138">
        <v>19.960732261562651</v>
      </c>
      <c r="I94" s="171">
        <v>21.19</v>
      </c>
      <c r="J94" s="170">
        <v>21.14</v>
      </c>
      <c r="K94" s="171">
        <v>16.32</v>
      </c>
      <c r="L94" s="172">
        <v>21.24</v>
      </c>
    </row>
    <row r="95" spans="1:12" x14ac:dyDescent="0.25">
      <c r="A95" s="163" t="s">
        <v>10</v>
      </c>
      <c r="B95" s="184" t="s">
        <v>144</v>
      </c>
      <c r="C95" s="185" t="s">
        <v>15</v>
      </c>
      <c r="D95" s="133">
        <v>25.863309334762601</v>
      </c>
      <c r="E95" s="132">
        <v>23.528551841024452</v>
      </c>
      <c r="F95" s="133">
        <v>26.503890295776948</v>
      </c>
      <c r="G95" s="132">
        <v>29.823381750827998</v>
      </c>
      <c r="H95" s="133">
        <v>25.119233226615002</v>
      </c>
      <c r="I95" s="166">
        <v>27.55</v>
      </c>
      <c r="J95" s="165">
        <v>27.02</v>
      </c>
      <c r="K95" s="166">
        <v>33.659999999999997</v>
      </c>
      <c r="L95" s="167">
        <v>28.9</v>
      </c>
    </row>
    <row r="96" spans="1:12" x14ac:dyDescent="0.25">
      <c r="A96" s="168" t="s">
        <v>10</v>
      </c>
      <c r="B96" s="186" t="s">
        <v>144</v>
      </c>
      <c r="C96" t="s">
        <v>15</v>
      </c>
      <c r="D96" s="138">
        <v>25.330030295141448</v>
      </c>
      <c r="E96" s="2">
        <v>26.663482199999748</v>
      </c>
      <c r="F96" s="138">
        <v>27.487917043833299</v>
      </c>
      <c r="G96" s="2">
        <v>31.0295215307547</v>
      </c>
      <c r="H96" s="138">
        <v>26.158998183435049</v>
      </c>
      <c r="I96" s="171">
        <v>29.87</v>
      </c>
      <c r="J96" s="170">
        <v>28.22</v>
      </c>
      <c r="K96" s="171">
        <v>32.83</v>
      </c>
      <c r="L96" s="172">
        <v>30.25</v>
      </c>
    </row>
    <row r="97" spans="1:12" x14ac:dyDescent="0.25">
      <c r="A97" s="173" t="s">
        <v>10</v>
      </c>
      <c r="B97" s="187" t="s">
        <v>144</v>
      </c>
      <c r="C97" s="188" t="s">
        <v>15</v>
      </c>
      <c r="D97" s="143">
        <v>25.10889935325115</v>
      </c>
      <c r="E97" s="142">
        <v>26.0620297618451</v>
      </c>
      <c r="F97" s="143">
        <v>27.472840707530199</v>
      </c>
      <c r="G97" s="142">
        <v>27.706763508323299</v>
      </c>
      <c r="H97" s="143">
        <v>23.466499978587851</v>
      </c>
      <c r="I97" s="176">
        <v>25.09</v>
      </c>
      <c r="J97" s="175">
        <v>25.05</v>
      </c>
      <c r="K97" s="176">
        <v>22.54</v>
      </c>
      <c r="L97" s="177">
        <v>28.26</v>
      </c>
    </row>
    <row r="98" spans="1:12" x14ac:dyDescent="0.25">
      <c r="A98" s="168" t="s">
        <v>10</v>
      </c>
      <c r="B98" s="189" t="s">
        <v>147</v>
      </c>
      <c r="C98" t="s">
        <v>145</v>
      </c>
      <c r="D98" s="138">
        <v>20.573944466161301</v>
      </c>
      <c r="E98" s="2">
        <v>20.334045085815802</v>
      </c>
      <c r="F98" s="138">
        <v>19.541719716809201</v>
      </c>
      <c r="G98" s="2">
        <v>22.2378816758692</v>
      </c>
      <c r="H98" s="138">
        <v>18.22444650386565</v>
      </c>
      <c r="I98" s="171">
        <v>21.6</v>
      </c>
      <c r="J98" s="170">
        <v>21.03</v>
      </c>
      <c r="K98" s="171">
        <v>23.65</v>
      </c>
      <c r="L98" s="172">
        <v>22.84</v>
      </c>
    </row>
    <row r="99" spans="1:12" x14ac:dyDescent="0.25">
      <c r="A99" s="168" t="s">
        <v>10</v>
      </c>
      <c r="B99" s="189" t="s">
        <v>147</v>
      </c>
      <c r="C99" t="s">
        <v>145</v>
      </c>
      <c r="D99" s="138">
        <v>20.029341902235998</v>
      </c>
      <c r="E99" s="2">
        <v>21.251122104137899</v>
      </c>
      <c r="F99" s="138">
        <v>20.022689384851549</v>
      </c>
      <c r="G99" s="2">
        <v>23.337058017634199</v>
      </c>
      <c r="H99" s="138">
        <v>19.845920525498052</v>
      </c>
      <c r="I99" s="171">
        <v>21.42</v>
      </c>
      <c r="J99" s="170">
        <v>21.86</v>
      </c>
      <c r="K99" s="171">
        <v>26.1</v>
      </c>
      <c r="L99" s="172">
        <v>24.44</v>
      </c>
    </row>
    <row r="100" spans="1:12" x14ac:dyDescent="0.25">
      <c r="A100" s="168" t="s">
        <v>10</v>
      </c>
      <c r="B100" s="189" t="s">
        <v>147</v>
      </c>
      <c r="C100" t="s">
        <v>145</v>
      </c>
      <c r="D100" s="138">
        <v>30.489604324436751</v>
      </c>
      <c r="E100" s="2">
        <v>31.843000209578499</v>
      </c>
      <c r="F100" s="138">
        <v>32.025732740818995</v>
      </c>
      <c r="G100" s="2">
        <v>29.849327447935948</v>
      </c>
      <c r="H100" s="138">
        <v>31.085321477893501</v>
      </c>
      <c r="I100" s="171">
        <v>23.3</v>
      </c>
      <c r="J100" s="170">
        <v>29.31</v>
      </c>
      <c r="K100" s="171">
        <v>38.78</v>
      </c>
      <c r="L100" s="172">
        <v>31.47</v>
      </c>
    </row>
    <row r="101" spans="1:12" x14ac:dyDescent="0.25">
      <c r="A101" s="163" t="s">
        <v>10</v>
      </c>
      <c r="B101" s="190" t="s">
        <v>147</v>
      </c>
      <c r="C101" s="185" t="s">
        <v>146</v>
      </c>
      <c r="D101" s="133">
        <v>15.122657392231101</v>
      </c>
      <c r="E101" s="132">
        <v>14.816427787677249</v>
      </c>
      <c r="F101" s="133">
        <v>16.325431520222452</v>
      </c>
      <c r="G101" s="132">
        <v>20.22816587604655</v>
      </c>
      <c r="H101" s="133">
        <v>18.0661430266026</v>
      </c>
      <c r="I101" s="166">
        <v>20.36</v>
      </c>
      <c r="J101" s="165">
        <v>19.57</v>
      </c>
      <c r="K101" s="166">
        <v>20.72</v>
      </c>
      <c r="L101" s="167">
        <v>18.899999999999999</v>
      </c>
    </row>
    <row r="102" spans="1:12" x14ac:dyDescent="0.25">
      <c r="A102" s="168" t="s">
        <v>10</v>
      </c>
      <c r="B102" s="189" t="s">
        <v>147</v>
      </c>
      <c r="C102" t="s">
        <v>146</v>
      </c>
      <c r="D102" s="138">
        <v>16.365065828084148</v>
      </c>
      <c r="E102" s="2">
        <v>16.36612449698675</v>
      </c>
      <c r="F102" s="138">
        <v>16.938617871772202</v>
      </c>
      <c r="G102" s="2">
        <v>22.602732513832052</v>
      </c>
      <c r="H102" s="138">
        <v>20.140641268390297</v>
      </c>
      <c r="I102" s="171">
        <v>21.09</v>
      </c>
      <c r="J102" s="170">
        <v>20.94</v>
      </c>
      <c r="K102" s="171">
        <v>22.21</v>
      </c>
      <c r="L102" s="172">
        <v>20.94</v>
      </c>
    </row>
    <row r="103" spans="1:12" x14ac:dyDescent="0.25">
      <c r="A103" s="173" t="s">
        <v>10</v>
      </c>
      <c r="B103" s="191" t="s">
        <v>147</v>
      </c>
      <c r="C103" s="188" t="s">
        <v>146</v>
      </c>
      <c r="D103" s="143">
        <v>22.063494034474552</v>
      </c>
      <c r="E103" s="142">
        <v>24.139893690359251</v>
      </c>
      <c r="F103" s="143">
        <v>26.8011133738712</v>
      </c>
      <c r="G103" s="142">
        <v>23.174145558866499</v>
      </c>
      <c r="H103" s="143">
        <v>27.026285609869653</v>
      </c>
      <c r="I103" s="176">
        <v>21.01</v>
      </c>
      <c r="J103" s="175">
        <v>22.27</v>
      </c>
      <c r="K103" s="176">
        <v>26</v>
      </c>
      <c r="L103" s="177">
        <v>25.44</v>
      </c>
    </row>
    <row r="104" spans="1:12" x14ac:dyDescent="0.25">
      <c r="A104" s="168" t="s">
        <v>10</v>
      </c>
      <c r="B104" s="189" t="s">
        <v>147</v>
      </c>
      <c r="C104" t="s">
        <v>15</v>
      </c>
      <c r="D104" s="138">
        <v>21.074509247825048</v>
      </c>
      <c r="E104" s="2">
        <v>21.53390827043545</v>
      </c>
      <c r="F104" s="138">
        <v>22.837213436335599</v>
      </c>
      <c r="G104" s="2">
        <v>26.272278926418451</v>
      </c>
      <c r="H104" s="138">
        <v>20.349590257597399</v>
      </c>
      <c r="I104" s="171">
        <v>24.21</v>
      </c>
      <c r="J104" s="170">
        <v>23.66</v>
      </c>
      <c r="K104" s="171">
        <v>26.77</v>
      </c>
      <c r="L104" s="172">
        <v>25.68</v>
      </c>
    </row>
    <row r="105" spans="1:12" x14ac:dyDescent="0.25">
      <c r="A105" s="168" t="s">
        <v>10</v>
      </c>
      <c r="B105" s="189" t="s">
        <v>147</v>
      </c>
      <c r="C105" t="s">
        <v>15</v>
      </c>
      <c r="D105" s="138">
        <v>27.791782834235647</v>
      </c>
      <c r="E105" s="2">
        <v>28.140961821824497</v>
      </c>
      <c r="F105" s="138">
        <v>28.568930209637749</v>
      </c>
      <c r="G105" s="2">
        <v>33.276924338984855</v>
      </c>
      <c r="H105" s="138">
        <v>27.492808149017399</v>
      </c>
      <c r="I105" s="171">
        <v>29.66</v>
      </c>
      <c r="J105" s="170">
        <v>30.39</v>
      </c>
      <c r="K105" s="171">
        <v>28.34</v>
      </c>
      <c r="L105" s="172">
        <v>30.32</v>
      </c>
    </row>
    <row r="106" spans="1:12" x14ac:dyDescent="0.25">
      <c r="A106" s="168" t="s">
        <v>10</v>
      </c>
      <c r="B106" s="189" t="s">
        <v>147</v>
      </c>
      <c r="C106" t="s">
        <v>15</v>
      </c>
      <c r="D106" s="138">
        <v>26.856793689393701</v>
      </c>
      <c r="E106" s="2">
        <v>27.893072374199399</v>
      </c>
      <c r="F106" s="138">
        <v>29.915859776591752</v>
      </c>
      <c r="G106" s="2">
        <v>30.196064722983401</v>
      </c>
      <c r="H106" s="138">
        <v>27.14727937348465</v>
      </c>
      <c r="I106" s="171">
        <v>26.57</v>
      </c>
      <c r="J106" s="170">
        <v>27.1</v>
      </c>
      <c r="K106" s="171">
        <v>29.47</v>
      </c>
      <c r="L106" s="172">
        <v>30.72</v>
      </c>
    </row>
    <row r="107" spans="1:12" x14ac:dyDescent="0.25">
      <c r="A107" s="130" t="s">
        <v>23</v>
      </c>
      <c r="B107" s="184" t="s">
        <v>144</v>
      </c>
      <c r="C107" s="185" t="s">
        <v>145</v>
      </c>
      <c r="D107" s="133">
        <v>22.100818161930249</v>
      </c>
      <c r="E107" s="132">
        <v>24.667399313308351</v>
      </c>
      <c r="F107" s="133">
        <v>25.6688751115705</v>
      </c>
      <c r="G107" s="132">
        <v>24.719096255101199</v>
      </c>
      <c r="H107" s="133">
        <v>23.769942659496699</v>
      </c>
      <c r="I107" s="166">
        <v>22.45</v>
      </c>
      <c r="J107" s="165">
        <v>23.17</v>
      </c>
      <c r="K107" s="166">
        <v>25.46</v>
      </c>
      <c r="L107" s="167">
        <v>25.56</v>
      </c>
    </row>
    <row r="108" spans="1:12" x14ac:dyDescent="0.25">
      <c r="A108" s="136" t="s">
        <v>23</v>
      </c>
      <c r="B108" s="186" t="s">
        <v>144</v>
      </c>
      <c r="C108" t="s">
        <v>145</v>
      </c>
      <c r="D108" s="138">
        <v>18.63675309553555</v>
      </c>
      <c r="E108" s="2">
        <v>20.163566099647802</v>
      </c>
      <c r="F108" s="138">
        <v>20.355334973464203</v>
      </c>
      <c r="G108" s="2">
        <v>22.40796434782305</v>
      </c>
      <c r="H108" s="138">
        <v>19.101691292326201</v>
      </c>
      <c r="I108" s="171">
        <v>20.85</v>
      </c>
      <c r="J108" s="170">
        <v>20.65</v>
      </c>
      <c r="K108" s="171">
        <v>22.62</v>
      </c>
      <c r="L108" s="172">
        <v>24</v>
      </c>
    </row>
    <row r="109" spans="1:12" x14ac:dyDescent="0.25">
      <c r="A109" s="140" t="s">
        <v>23</v>
      </c>
      <c r="B109" s="187" t="s">
        <v>144</v>
      </c>
      <c r="C109" s="188" t="s">
        <v>145</v>
      </c>
      <c r="D109" s="143">
        <v>22.846000389837499</v>
      </c>
      <c r="E109" s="142">
        <v>22.8539108344137</v>
      </c>
      <c r="F109" s="143">
        <v>22.61136193880775</v>
      </c>
      <c r="G109" s="142">
        <v>26.393393492376248</v>
      </c>
      <c r="H109" s="143">
        <v>22.609641337571198</v>
      </c>
      <c r="I109" s="176">
        <v>24.82</v>
      </c>
      <c r="J109" s="175">
        <v>25.43</v>
      </c>
      <c r="K109" s="176">
        <v>29.39</v>
      </c>
      <c r="L109" s="177">
        <v>24.98</v>
      </c>
    </row>
    <row r="110" spans="1:12" x14ac:dyDescent="0.25">
      <c r="A110" s="136" t="s">
        <v>23</v>
      </c>
      <c r="B110" s="186" t="s">
        <v>144</v>
      </c>
      <c r="C110" t="s">
        <v>146</v>
      </c>
      <c r="D110" s="138">
        <v>15.907585597021651</v>
      </c>
      <c r="E110" s="2">
        <v>16.139633439934649</v>
      </c>
      <c r="F110" s="138">
        <v>16.622092250411953</v>
      </c>
      <c r="G110" s="2">
        <v>21.68564082395255</v>
      </c>
      <c r="H110" s="138">
        <v>18.663643110573251</v>
      </c>
      <c r="I110" s="171">
        <v>21.44</v>
      </c>
      <c r="J110" s="170">
        <v>27.24</v>
      </c>
      <c r="K110" s="171">
        <v>26.8</v>
      </c>
      <c r="L110" s="172">
        <v>24.37</v>
      </c>
    </row>
    <row r="111" spans="1:12" x14ac:dyDescent="0.25">
      <c r="A111" s="136" t="s">
        <v>23</v>
      </c>
      <c r="B111" s="186" t="s">
        <v>144</v>
      </c>
      <c r="C111" t="s">
        <v>146</v>
      </c>
      <c r="D111" s="138">
        <v>15.025192620961601</v>
      </c>
      <c r="E111" s="2">
        <v>14.98608012574705</v>
      </c>
      <c r="F111" s="138">
        <v>16.008008222613199</v>
      </c>
      <c r="G111" s="2">
        <v>21.041287953964101</v>
      </c>
      <c r="H111" s="138">
        <v>18.225125634063001</v>
      </c>
      <c r="I111" s="171">
        <v>20.51</v>
      </c>
      <c r="J111" s="170">
        <v>19.66</v>
      </c>
      <c r="K111" s="171">
        <v>20.61</v>
      </c>
      <c r="L111" s="172">
        <v>18.239999999999998</v>
      </c>
    </row>
    <row r="112" spans="1:12" x14ac:dyDescent="0.25">
      <c r="A112" s="136" t="s">
        <v>23</v>
      </c>
      <c r="B112" s="186" t="s">
        <v>144</v>
      </c>
      <c r="C112" t="s">
        <v>146</v>
      </c>
      <c r="D112" s="138">
        <v>15.554024884635801</v>
      </c>
      <c r="E112" s="2">
        <v>15.5898409876357</v>
      </c>
      <c r="F112" s="138">
        <v>16.556513366733398</v>
      </c>
      <c r="G112" s="2">
        <v>20.922244083098199</v>
      </c>
      <c r="H112" s="138">
        <v>18.453580829819899</v>
      </c>
      <c r="I112" s="171">
        <v>21.23</v>
      </c>
      <c r="J112" s="170">
        <v>20.47</v>
      </c>
      <c r="K112" s="171">
        <v>20.69</v>
      </c>
      <c r="L112" s="172">
        <v>19.36</v>
      </c>
    </row>
    <row r="113" spans="1:12" x14ac:dyDescent="0.25">
      <c r="A113" s="130" t="s">
        <v>23</v>
      </c>
      <c r="B113" s="184" t="s">
        <v>144</v>
      </c>
      <c r="C113" s="185" t="s">
        <v>15</v>
      </c>
      <c r="D113" s="133">
        <v>24.680436343333348</v>
      </c>
      <c r="E113" s="132">
        <v>25.435337097366549</v>
      </c>
      <c r="F113" s="133">
        <v>26.768729628084898</v>
      </c>
      <c r="G113" s="132">
        <v>29.566304014454449</v>
      </c>
      <c r="H113" s="133">
        <v>23.516823215869699</v>
      </c>
      <c r="I113" s="166">
        <v>27.11</v>
      </c>
      <c r="J113" s="165">
        <v>20.7</v>
      </c>
      <c r="K113" s="166">
        <v>27.27</v>
      </c>
      <c r="L113" s="167">
        <v>24.46</v>
      </c>
    </row>
    <row r="114" spans="1:12" x14ac:dyDescent="0.25">
      <c r="A114" s="136" t="s">
        <v>23</v>
      </c>
      <c r="B114" s="186" t="s">
        <v>144</v>
      </c>
      <c r="C114" t="s">
        <v>15</v>
      </c>
      <c r="D114" s="138">
        <v>24.118959579206951</v>
      </c>
      <c r="E114" s="2">
        <v>25.594712197500549</v>
      </c>
      <c r="F114" s="138">
        <v>25.856608800376897</v>
      </c>
      <c r="G114" s="2">
        <v>29.448887205972802</v>
      </c>
      <c r="H114" s="138">
        <v>24.87945637991195</v>
      </c>
      <c r="I114" s="171">
        <v>27.58</v>
      </c>
      <c r="J114" s="170">
        <v>27.38</v>
      </c>
      <c r="K114" s="171">
        <v>26.8</v>
      </c>
      <c r="L114" s="172">
        <v>30.44</v>
      </c>
    </row>
    <row r="115" spans="1:12" x14ac:dyDescent="0.25">
      <c r="A115" s="140" t="s">
        <v>23</v>
      </c>
      <c r="B115" s="187" t="s">
        <v>144</v>
      </c>
      <c r="C115" s="188" t="s">
        <v>15</v>
      </c>
      <c r="D115" s="143">
        <v>23.9639059572335</v>
      </c>
      <c r="E115" s="142">
        <v>24.639921528181901</v>
      </c>
      <c r="F115" s="143">
        <v>24.896554903006951</v>
      </c>
      <c r="G115" s="142">
        <v>30.309502481296498</v>
      </c>
      <c r="H115" s="143">
        <v>24.632798521654102</v>
      </c>
      <c r="I115" s="176">
        <v>27.4</v>
      </c>
      <c r="J115" s="175">
        <v>27.7</v>
      </c>
      <c r="K115" s="176">
        <v>30.63</v>
      </c>
      <c r="L115" s="177">
        <v>28.17</v>
      </c>
    </row>
    <row r="116" spans="1:12" x14ac:dyDescent="0.25">
      <c r="A116" s="136" t="s">
        <v>23</v>
      </c>
      <c r="B116" s="189" t="s">
        <v>147</v>
      </c>
      <c r="C116" t="s">
        <v>145</v>
      </c>
      <c r="D116" s="138">
        <v>28.2669305517583</v>
      </c>
      <c r="E116" s="2">
        <v>29.771992665583198</v>
      </c>
      <c r="F116" s="138">
        <v>30.2357775092532</v>
      </c>
      <c r="G116" s="2">
        <v>26.554806887974649</v>
      </c>
      <c r="H116" s="138">
        <v>28.924043909748299</v>
      </c>
      <c r="I116" s="171">
        <v>22.24</v>
      </c>
      <c r="J116" s="170">
        <v>25.18</v>
      </c>
      <c r="K116" s="171">
        <v>24.61</v>
      </c>
      <c r="L116" s="172">
        <v>30.58</v>
      </c>
    </row>
    <row r="117" spans="1:12" x14ac:dyDescent="0.25">
      <c r="A117" s="136" t="s">
        <v>23</v>
      </c>
      <c r="B117" s="189" t="s">
        <v>147</v>
      </c>
      <c r="C117" t="s">
        <v>145</v>
      </c>
      <c r="D117" s="138">
        <v>23.982911515385048</v>
      </c>
      <c r="E117" s="2">
        <v>23.174025608885</v>
      </c>
      <c r="F117" s="138">
        <v>23.080352889989953</v>
      </c>
      <c r="G117" s="2">
        <v>28.100547694632802</v>
      </c>
      <c r="H117" s="138">
        <v>24.366074667649698</v>
      </c>
      <c r="I117" s="171">
        <v>24.29</v>
      </c>
      <c r="J117" s="170">
        <v>26.33</v>
      </c>
      <c r="K117" s="171">
        <v>23.32</v>
      </c>
      <c r="L117" s="172">
        <v>26.92</v>
      </c>
    </row>
    <row r="118" spans="1:12" x14ac:dyDescent="0.25">
      <c r="A118" s="136" t="s">
        <v>23</v>
      </c>
      <c r="B118" s="189" t="s">
        <v>147</v>
      </c>
      <c r="C118" t="s">
        <v>145</v>
      </c>
      <c r="D118" s="138">
        <v>26.548404277795051</v>
      </c>
      <c r="E118" s="2">
        <v>28.907664489701901</v>
      </c>
      <c r="F118" s="138">
        <v>28.346161361439002</v>
      </c>
      <c r="G118" s="2">
        <v>25.455893679505451</v>
      </c>
      <c r="H118" s="138">
        <v>25.946921440559997</v>
      </c>
      <c r="I118" s="171">
        <v>22.06</v>
      </c>
      <c r="J118" s="170">
        <v>23.52</v>
      </c>
      <c r="K118" s="171">
        <v>23.34</v>
      </c>
      <c r="L118" s="172">
        <v>29.07</v>
      </c>
    </row>
    <row r="119" spans="1:12" x14ac:dyDescent="0.25">
      <c r="A119" s="130" t="s">
        <v>23</v>
      </c>
      <c r="B119" s="190" t="s">
        <v>147</v>
      </c>
      <c r="C119" s="185" t="s">
        <v>146</v>
      </c>
      <c r="D119" s="133">
        <v>16.855633678114948</v>
      </c>
      <c r="E119" s="132">
        <v>17.799952778759703</v>
      </c>
      <c r="F119" s="133">
        <v>19.010556405146101</v>
      </c>
      <c r="G119" s="132">
        <v>22.627154594619949</v>
      </c>
      <c r="H119" s="133">
        <v>21.766677039212251</v>
      </c>
      <c r="I119" s="166">
        <v>21.12</v>
      </c>
      <c r="J119" s="165">
        <v>21.12</v>
      </c>
      <c r="K119" s="166">
        <v>20.68</v>
      </c>
      <c r="L119" s="167">
        <v>21.42</v>
      </c>
    </row>
    <row r="120" spans="1:12" x14ac:dyDescent="0.25">
      <c r="A120" s="136" t="s">
        <v>23</v>
      </c>
      <c r="B120" s="189" t="s">
        <v>147</v>
      </c>
      <c r="C120" t="s">
        <v>146</v>
      </c>
      <c r="D120" s="138">
        <v>16.697974555715298</v>
      </c>
      <c r="E120" s="2">
        <v>18.992900645421898</v>
      </c>
      <c r="F120" s="138">
        <v>20.0615409349837</v>
      </c>
      <c r="G120" s="2">
        <v>23.02553765663205</v>
      </c>
      <c r="H120" s="138">
        <v>22.196189056663798</v>
      </c>
      <c r="I120" s="171">
        <v>21.26</v>
      </c>
      <c r="J120" s="170">
        <v>22</v>
      </c>
      <c r="K120" s="171">
        <v>24.39</v>
      </c>
      <c r="L120" s="172">
        <v>20.64</v>
      </c>
    </row>
    <row r="121" spans="1:12" x14ac:dyDescent="0.25">
      <c r="A121" s="140" t="s">
        <v>23</v>
      </c>
      <c r="B121" s="191" t="s">
        <v>147</v>
      </c>
      <c r="C121" s="188" t="s">
        <v>146</v>
      </c>
      <c r="D121" s="143">
        <v>18.4863541190423</v>
      </c>
      <c r="E121" s="142">
        <v>18.280240415552647</v>
      </c>
      <c r="F121" s="143">
        <v>18.726070795889399</v>
      </c>
      <c r="G121" s="142">
        <v>21.192468258600698</v>
      </c>
      <c r="H121" s="143">
        <v>20.640199576777452</v>
      </c>
      <c r="I121" s="176">
        <v>20.43</v>
      </c>
      <c r="J121" s="175">
        <v>20.2</v>
      </c>
      <c r="K121" s="176">
        <v>24.24</v>
      </c>
      <c r="L121" s="177">
        <v>21.51</v>
      </c>
    </row>
    <row r="122" spans="1:12" x14ac:dyDescent="0.25">
      <c r="A122" s="136" t="s">
        <v>23</v>
      </c>
      <c r="B122" s="189" t="s">
        <v>147</v>
      </c>
      <c r="C122" t="s">
        <v>15</v>
      </c>
      <c r="D122" s="138">
        <v>29.438856248887049</v>
      </c>
      <c r="E122" s="2">
        <v>31.0996520715331</v>
      </c>
      <c r="F122" s="138">
        <v>31.789650333563952</v>
      </c>
      <c r="G122" s="2">
        <v>35.051610081658055</v>
      </c>
      <c r="H122" s="138">
        <v>32.205246222099802</v>
      </c>
      <c r="I122" s="171">
        <v>31.09</v>
      </c>
      <c r="J122" s="170">
        <v>31.77</v>
      </c>
      <c r="K122" s="171">
        <v>37.56</v>
      </c>
      <c r="L122" s="172">
        <v>33.11</v>
      </c>
    </row>
    <row r="123" spans="1:12" x14ac:dyDescent="0.25">
      <c r="A123" s="136" t="s">
        <v>23</v>
      </c>
      <c r="B123" s="189" t="s">
        <v>147</v>
      </c>
      <c r="C123" t="s">
        <v>15</v>
      </c>
      <c r="D123" s="138">
        <v>27.7908766807356</v>
      </c>
      <c r="E123" s="2">
        <v>29.024147999272948</v>
      </c>
      <c r="F123" s="138">
        <v>31.071880180593048</v>
      </c>
      <c r="G123" s="2">
        <v>31.2026303510684</v>
      </c>
      <c r="H123" s="138">
        <v>28.095243653265001</v>
      </c>
      <c r="I123" s="171">
        <v>26.34</v>
      </c>
      <c r="J123" s="170">
        <v>27.88</v>
      </c>
      <c r="K123" s="171">
        <v>24.7</v>
      </c>
      <c r="L123" s="172">
        <v>29.95</v>
      </c>
    </row>
    <row r="124" spans="1:12" x14ac:dyDescent="0.25">
      <c r="A124" s="136" t="s">
        <v>23</v>
      </c>
      <c r="B124" s="189" t="s">
        <v>147</v>
      </c>
      <c r="C124" t="s">
        <v>15</v>
      </c>
      <c r="D124" s="138">
        <v>25.892402260330449</v>
      </c>
      <c r="E124" s="2">
        <v>25.953586402124451</v>
      </c>
      <c r="F124" s="138">
        <v>26.35380217659225</v>
      </c>
      <c r="G124" s="2">
        <v>29.3644557724541</v>
      </c>
      <c r="H124" s="138">
        <v>25.808002396630801</v>
      </c>
      <c r="I124" s="171">
        <v>26.42</v>
      </c>
      <c r="J124" s="170">
        <v>26.12</v>
      </c>
      <c r="K124" s="171">
        <v>33.19</v>
      </c>
      <c r="L124" s="172">
        <v>30.1</v>
      </c>
    </row>
    <row r="125" spans="1:12" x14ac:dyDescent="0.25">
      <c r="A125" s="178" t="s">
        <v>33</v>
      </c>
      <c r="B125" s="184" t="s">
        <v>144</v>
      </c>
      <c r="C125" s="185" t="s">
        <v>145</v>
      </c>
      <c r="D125" s="133">
        <v>22.10469419349235</v>
      </c>
      <c r="E125" s="132">
        <v>22.648264429471197</v>
      </c>
      <c r="F125" s="133">
        <v>21.99622249785995</v>
      </c>
      <c r="G125" s="132">
        <v>25.51663054994215</v>
      </c>
      <c r="H125" s="133">
        <v>20.841778297670402</v>
      </c>
      <c r="I125" s="166">
        <v>23.76</v>
      </c>
      <c r="J125" s="165">
        <v>24.09</v>
      </c>
      <c r="K125" s="166">
        <v>28.84</v>
      </c>
      <c r="L125" s="167">
        <v>25.05</v>
      </c>
    </row>
    <row r="126" spans="1:12" x14ac:dyDescent="0.25">
      <c r="A126" s="179" t="s">
        <v>33</v>
      </c>
      <c r="B126" s="186" t="s">
        <v>144</v>
      </c>
      <c r="C126" t="s">
        <v>145</v>
      </c>
      <c r="D126" s="138">
        <v>26.631454411079599</v>
      </c>
      <c r="E126" s="2">
        <v>20.685084937546748</v>
      </c>
      <c r="F126" s="138">
        <v>20.280648584622199</v>
      </c>
      <c r="G126" s="2">
        <v>22.395414892250102</v>
      </c>
      <c r="H126" s="138">
        <v>18.991308036192201</v>
      </c>
      <c r="I126" s="171">
        <v>21.57</v>
      </c>
      <c r="J126" s="170">
        <v>20.49</v>
      </c>
      <c r="K126" s="171">
        <v>20.3</v>
      </c>
      <c r="L126" s="172">
        <v>23.45</v>
      </c>
    </row>
    <row r="127" spans="1:12" x14ac:dyDescent="0.25">
      <c r="A127" s="179" t="s">
        <v>33</v>
      </c>
      <c r="B127" s="186" t="s">
        <v>144</v>
      </c>
      <c r="C127" t="s">
        <v>145</v>
      </c>
      <c r="D127" s="138">
        <v>21.619429508129649</v>
      </c>
      <c r="E127" s="2">
        <v>21.821769898135951</v>
      </c>
      <c r="F127" s="138">
        <v>21.790662478892997</v>
      </c>
      <c r="G127" s="2">
        <v>21.9383306584796</v>
      </c>
      <c r="H127" s="138">
        <v>21.266208062759901</v>
      </c>
      <c r="I127" s="171">
        <v>22.03</v>
      </c>
      <c r="J127" s="170">
        <v>21.75</v>
      </c>
      <c r="K127" s="171">
        <v>24.81</v>
      </c>
      <c r="L127" s="172">
        <v>25.52</v>
      </c>
    </row>
    <row r="128" spans="1:12" x14ac:dyDescent="0.25">
      <c r="A128" s="178" t="s">
        <v>33</v>
      </c>
      <c r="B128" s="184" t="s">
        <v>144</v>
      </c>
      <c r="C128" s="185" t="s">
        <v>146</v>
      </c>
      <c r="D128" s="133">
        <v>17.029067984885749</v>
      </c>
      <c r="E128" s="132">
        <v>20.609978082701502</v>
      </c>
      <c r="F128" s="133">
        <v>18.972204279325801</v>
      </c>
      <c r="G128" s="132">
        <v>22.1233566771038</v>
      </c>
      <c r="H128" s="133">
        <v>20.359294036999501</v>
      </c>
      <c r="I128" s="166">
        <v>21.44</v>
      </c>
      <c r="J128" s="165">
        <v>20.97</v>
      </c>
      <c r="K128" s="166">
        <v>22.06</v>
      </c>
      <c r="L128" s="167">
        <v>20.420000000000002</v>
      </c>
    </row>
    <row r="129" spans="1:12" x14ac:dyDescent="0.25">
      <c r="A129" s="179" t="s">
        <v>33</v>
      </c>
      <c r="B129" s="186" t="s">
        <v>144</v>
      </c>
      <c r="C129" t="s">
        <v>146</v>
      </c>
      <c r="D129" s="138">
        <v>17.573931711155801</v>
      </c>
      <c r="E129" s="2">
        <v>16.315130029245402</v>
      </c>
      <c r="F129" s="138">
        <v>17.8491352411388</v>
      </c>
      <c r="G129" s="2">
        <v>19.784712886413651</v>
      </c>
      <c r="H129" s="138">
        <v>18.457148865336002</v>
      </c>
      <c r="I129" s="171">
        <v>20.57</v>
      </c>
      <c r="J129" s="170">
        <v>20.62</v>
      </c>
      <c r="K129" s="171">
        <v>18.43</v>
      </c>
      <c r="L129" s="172">
        <v>18.18</v>
      </c>
    </row>
    <row r="130" spans="1:12" x14ac:dyDescent="0.25">
      <c r="A130" s="180" t="s">
        <v>33</v>
      </c>
      <c r="B130" s="187" t="s">
        <v>144</v>
      </c>
      <c r="C130" s="188" t="s">
        <v>146</v>
      </c>
      <c r="D130" s="143">
        <v>25.1802705031924</v>
      </c>
      <c r="E130" s="142">
        <v>25.112721034073552</v>
      </c>
      <c r="F130" s="143">
        <v>26.27243327739955</v>
      </c>
      <c r="G130" s="142">
        <v>32.56682647643985</v>
      </c>
      <c r="H130" s="143">
        <v>30.3230678183252</v>
      </c>
      <c r="I130" s="176">
        <v>25.13</v>
      </c>
      <c r="J130" s="175">
        <v>28.26</v>
      </c>
      <c r="K130" s="176">
        <v>20.67</v>
      </c>
      <c r="L130" s="177">
        <v>28.21</v>
      </c>
    </row>
    <row r="131" spans="1:12" x14ac:dyDescent="0.25">
      <c r="A131" s="179" t="s">
        <v>33</v>
      </c>
      <c r="B131" s="186" t="s">
        <v>144</v>
      </c>
      <c r="C131" t="s">
        <v>15</v>
      </c>
      <c r="D131" s="138">
        <v>23.815319701060101</v>
      </c>
      <c r="E131" s="2">
        <v>25.938747481368349</v>
      </c>
      <c r="F131" s="138">
        <v>26.435133928184953</v>
      </c>
      <c r="G131" s="2">
        <v>28.55461712095795</v>
      </c>
      <c r="H131" s="138">
        <v>23.819415728292501</v>
      </c>
      <c r="I131" s="171">
        <v>25.71</v>
      </c>
      <c r="J131" s="170">
        <v>25.74</v>
      </c>
      <c r="K131" s="171">
        <v>31.02</v>
      </c>
      <c r="L131" s="172">
        <v>27.71</v>
      </c>
    </row>
    <row r="132" spans="1:12" x14ac:dyDescent="0.25">
      <c r="A132" s="179" t="s">
        <v>33</v>
      </c>
      <c r="B132" s="186" t="s">
        <v>144</v>
      </c>
      <c r="C132" t="s">
        <v>15</v>
      </c>
      <c r="D132" s="138">
        <v>20.723406357806049</v>
      </c>
      <c r="E132" s="2">
        <v>29.62793388247945</v>
      </c>
      <c r="F132" s="138">
        <v>28.627059472213148</v>
      </c>
      <c r="G132" s="2">
        <v>21.365583568224249</v>
      </c>
      <c r="H132" s="138">
        <v>26.2823493946828</v>
      </c>
      <c r="I132" s="171">
        <v>28.26</v>
      </c>
      <c r="J132" s="170">
        <v>29.06</v>
      </c>
      <c r="K132" s="171">
        <v>26.52</v>
      </c>
      <c r="L132" s="172">
        <v>30.56</v>
      </c>
    </row>
    <row r="133" spans="1:12" x14ac:dyDescent="0.25">
      <c r="A133" s="179" t="s">
        <v>33</v>
      </c>
      <c r="B133" s="186" t="s">
        <v>144</v>
      </c>
      <c r="C133" t="s">
        <v>15</v>
      </c>
      <c r="D133" s="138">
        <v>25.9301269387832</v>
      </c>
      <c r="E133" s="2">
        <v>25.969592575193303</v>
      </c>
      <c r="F133" s="138">
        <v>26.678983937338749</v>
      </c>
      <c r="G133" s="2">
        <v>28.203621539011152</v>
      </c>
      <c r="H133" s="138">
        <v>26.125971521535199</v>
      </c>
      <c r="I133" s="171">
        <v>28.17</v>
      </c>
      <c r="J133" s="170">
        <v>28.52</v>
      </c>
      <c r="K133" s="171">
        <v>27.27</v>
      </c>
      <c r="L133" s="172">
        <v>30.91</v>
      </c>
    </row>
    <row r="134" spans="1:12" x14ac:dyDescent="0.25">
      <c r="A134" s="178" t="s">
        <v>33</v>
      </c>
      <c r="B134" s="190" t="s">
        <v>147</v>
      </c>
      <c r="C134" s="185" t="s">
        <v>145</v>
      </c>
      <c r="D134" s="133">
        <v>21.2684064435816</v>
      </c>
      <c r="E134" s="132">
        <v>23.511487099061398</v>
      </c>
      <c r="F134" s="133">
        <v>21.26840230339025</v>
      </c>
      <c r="G134" s="132">
        <v>23.772447475872802</v>
      </c>
      <c r="H134" s="133">
        <v>19.503083605463651</v>
      </c>
      <c r="I134" s="166">
        <v>20.61</v>
      </c>
      <c r="J134" s="165">
        <v>20.75</v>
      </c>
      <c r="K134" s="166">
        <v>18.809999999999999</v>
      </c>
      <c r="L134" s="167">
        <v>22.95</v>
      </c>
    </row>
    <row r="135" spans="1:12" x14ac:dyDescent="0.25">
      <c r="A135" s="179" t="s">
        <v>33</v>
      </c>
      <c r="B135" s="189" t="s">
        <v>147</v>
      </c>
      <c r="C135" t="s">
        <v>145</v>
      </c>
      <c r="D135" s="138">
        <v>22.7315854191338</v>
      </c>
      <c r="E135" s="2">
        <v>22.411345884458349</v>
      </c>
      <c r="F135" s="138">
        <v>23.616674652946301</v>
      </c>
      <c r="G135" s="2">
        <v>24.5040682162705</v>
      </c>
      <c r="H135" s="138">
        <v>22.303739634366153</v>
      </c>
      <c r="I135" s="171">
        <v>23.46</v>
      </c>
      <c r="J135" s="170">
        <v>23.09</v>
      </c>
      <c r="K135" s="171">
        <v>25.68</v>
      </c>
      <c r="L135" s="172">
        <v>24.41</v>
      </c>
    </row>
    <row r="136" spans="1:12" x14ac:dyDescent="0.25">
      <c r="A136" s="180" t="s">
        <v>33</v>
      </c>
      <c r="B136" s="191" t="s">
        <v>147</v>
      </c>
      <c r="C136" s="188" t="s">
        <v>145</v>
      </c>
      <c r="D136" s="143">
        <v>17.776617007435902</v>
      </c>
      <c r="E136" s="142">
        <v>17.681129998281751</v>
      </c>
      <c r="F136" s="143">
        <v>19.4343706141917</v>
      </c>
      <c r="G136" s="142">
        <v>21.196347499134397</v>
      </c>
      <c r="H136" s="143">
        <v>17.757426833837499</v>
      </c>
      <c r="I136" s="176">
        <v>20.059999999999999</v>
      </c>
      <c r="J136" s="175">
        <v>19.75</v>
      </c>
      <c r="K136" s="176">
        <v>24.15</v>
      </c>
      <c r="L136" s="177">
        <v>21.75</v>
      </c>
    </row>
    <row r="137" spans="1:12" x14ac:dyDescent="0.25">
      <c r="A137" s="179" t="s">
        <v>33</v>
      </c>
      <c r="B137" s="189" t="s">
        <v>147</v>
      </c>
      <c r="C137" t="s">
        <v>146</v>
      </c>
      <c r="D137" s="138">
        <v>14.315032731328198</v>
      </c>
      <c r="E137" s="2">
        <v>16.1054553559784</v>
      </c>
      <c r="F137" s="138">
        <v>18.442391038735849</v>
      </c>
      <c r="G137" s="2">
        <v>31.794231568530648</v>
      </c>
      <c r="H137" s="138">
        <v>19.877836416740251</v>
      </c>
      <c r="I137" s="171">
        <v>19.920000000000002</v>
      </c>
      <c r="J137" s="170">
        <v>19.5</v>
      </c>
      <c r="K137" s="171">
        <v>16.46</v>
      </c>
      <c r="L137" s="172">
        <v>19.09</v>
      </c>
    </row>
    <row r="138" spans="1:12" x14ac:dyDescent="0.25">
      <c r="A138" s="179" t="s">
        <v>33</v>
      </c>
      <c r="B138" s="189" t="s">
        <v>147</v>
      </c>
      <c r="C138" t="s">
        <v>146</v>
      </c>
      <c r="D138" s="138">
        <v>15.370422276535351</v>
      </c>
      <c r="E138" s="2">
        <v>15.60370562079455</v>
      </c>
      <c r="F138" s="138">
        <v>17.737087281133299</v>
      </c>
      <c r="G138" s="2">
        <v>20.500494182894698</v>
      </c>
      <c r="H138" s="138">
        <v>18.646513613337753</v>
      </c>
      <c r="I138" s="171">
        <v>21.71</v>
      </c>
      <c r="J138" s="170">
        <v>20.67</v>
      </c>
      <c r="K138" s="171">
        <v>17.690000000000001</v>
      </c>
      <c r="L138" s="172">
        <v>18.96</v>
      </c>
    </row>
    <row r="139" spans="1:12" x14ac:dyDescent="0.25">
      <c r="A139" s="179" t="s">
        <v>33</v>
      </c>
      <c r="B139" s="189" t="s">
        <v>147</v>
      </c>
      <c r="C139" t="s">
        <v>146</v>
      </c>
      <c r="D139" s="138">
        <v>15.7806863753509</v>
      </c>
      <c r="E139" s="2">
        <v>14.83690109185545</v>
      </c>
      <c r="F139" s="138">
        <v>16.87052954011445</v>
      </c>
      <c r="G139" s="2">
        <v>20.699943137323199</v>
      </c>
      <c r="H139" s="138">
        <v>18.755684047632052</v>
      </c>
      <c r="I139" s="171">
        <v>19.75</v>
      </c>
      <c r="J139" s="170">
        <v>19.25</v>
      </c>
      <c r="K139" s="171">
        <v>17.079999999999998</v>
      </c>
      <c r="L139" s="172">
        <v>18.45</v>
      </c>
    </row>
    <row r="140" spans="1:12" x14ac:dyDescent="0.25">
      <c r="A140" s="178" t="s">
        <v>33</v>
      </c>
      <c r="B140" s="190" t="s">
        <v>147</v>
      </c>
      <c r="C140" s="185" t="s">
        <v>15</v>
      </c>
      <c r="D140" s="133">
        <v>23.850102190904749</v>
      </c>
      <c r="E140" s="132">
        <v>24.200723734864049</v>
      </c>
      <c r="F140" s="133">
        <v>25.9069854510685</v>
      </c>
      <c r="G140" s="132">
        <v>27.027314056739051</v>
      </c>
      <c r="H140" s="133">
        <v>23.573441429976647</v>
      </c>
      <c r="I140" s="166">
        <v>23.62</v>
      </c>
      <c r="J140" s="165">
        <v>24.96</v>
      </c>
      <c r="K140" s="166">
        <v>22.86</v>
      </c>
      <c r="L140" s="167">
        <v>25.18</v>
      </c>
    </row>
    <row r="141" spans="1:12" x14ac:dyDescent="0.25">
      <c r="A141" s="179" t="s">
        <v>33</v>
      </c>
      <c r="B141" s="189" t="s">
        <v>147</v>
      </c>
      <c r="C141" t="s">
        <v>15</v>
      </c>
      <c r="D141" s="138">
        <v>19.984183837235051</v>
      </c>
      <c r="E141" s="2">
        <v>20.062782862115199</v>
      </c>
      <c r="F141" s="138">
        <v>21.143863707110299</v>
      </c>
      <c r="G141" s="2">
        <v>23.844887127064098</v>
      </c>
      <c r="H141" s="138">
        <v>18.94865335003</v>
      </c>
      <c r="I141" s="171">
        <v>22.8</v>
      </c>
      <c r="J141" s="170">
        <v>22.29</v>
      </c>
      <c r="K141" s="171">
        <v>24.61</v>
      </c>
      <c r="L141" s="172">
        <v>23.76</v>
      </c>
    </row>
    <row r="142" spans="1:12" x14ac:dyDescent="0.25">
      <c r="A142" s="180" t="s">
        <v>33</v>
      </c>
      <c r="B142" s="191" t="s">
        <v>147</v>
      </c>
      <c r="C142" s="188" t="s">
        <v>15</v>
      </c>
      <c r="D142" s="143">
        <v>20.240866409671952</v>
      </c>
      <c r="E142" s="142">
        <v>20.8230599760189</v>
      </c>
      <c r="F142" s="143">
        <v>22.230048931940701</v>
      </c>
      <c r="G142" s="142">
        <v>26.46743179853015</v>
      </c>
      <c r="H142" s="143">
        <v>21.999947830669299</v>
      </c>
      <c r="I142" s="176">
        <v>24.01</v>
      </c>
      <c r="J142" s="175">
        <v>24.18</v>
      </c>
      <c r="K142" s="176">
        <v>23.17</v>
      </c>
      <c r="L142" s="177">
        <v>25.59</v>
      </c>
    </row>
    <row r="145" spans="1:12" x14ac:dyDescent="0.25">
      <c r="A145" s="181" t="s">
        <v>104</v>
      </c>
      <c r="B145" s="182" t="s">
        <v>105</v>
      </c>
      <c r="C145" s="183" t="s">
        <v>2</v>
      </c>
      <c r="D145" s="127" t="s">
        <v>79</v>
      </c>
      <c r="E145" s="126" t="s">
        <v>83</v>
      </c>
      <c r="F145" s="127" t="s">
        <v>91</v>
      </c>
      <c r="G145" s="126" t="s">
        <v>149</v>
      </c>
      <c r="H145" s="127" t="s">
        <v>150</v>
      </c>
      <c r="I145" s="128" t="s">
        <v>121</v>
      </c>
      <c r="J145" s="129" t="s">
        <v>122</v>
      </c>
      <c r="K145" s="128" t="s">
        <v>101</v>
      </c>
      <c r="L145" s="162" t="s">
        <v>102</v>
      </c>
    </row>
    <row r="146" spans="1:12" x14ac:dyDescent="0.25">
      <c r="A146" s="163" t="s">
        <v>10</v>
      </c>
      <c r="B146" s="184" t="s">
        <v>144</v>
      </c>
      <c r="C146" s="185" t="s">
        <v>145</v>
      </c>
      <c r="D146" s="133">
        <v>19.841928426717651</v>
      </c>
      <c r="E146" s="132">
        <v>22.248228829350801</v>
      </c>
      <c r="F146" s="133">
        <v>22.294818925239401</v>
      </c>
      <c r="G146" s="132">
        <v>25.02922896484835</v>
      </c>
      <c r="H146" s="133">
        <v>21.953804088604102</v>
      </c>
      <c r="I146" s="166">
        <v>23.22</v>
      </c>
      <c r="J146" s="165">
        <v>23.32</v>
      </c>
      <c r="K146" s="166">
        <v>20.399999999999999</v>
      </c>
      <c r="L146" s="167">
        <v>25.02</v>
      </c>
    </row>
    <row r="147" spans="1:12" x14ac:dyDescent="0.25">
      <c r="A147" s="168" t="s">
        <v>10</v>
      </c>
      <c r="B147" s="186" t="s">
        <v>144</v>
      </c>
      <c r="C147" t="s">
        <v>145</v>
      </c>
      <c r="D147" s="138">
        <v>19.790779922612202</v>
      </c>
      <c r="E147" s="2">
        <v>20.35358997339625</v>
      </c>
      <c r="F147" s="138">
        <v>20.564129127451551</v>
      </c>
      <c r="G147" s="2">
        <v>22.456865705260448</v>
      </c>
      <c r="H147" s="138">
        <v>19.366710917842401</v>
      </c>
      <c r="I147" s="171">
        <v>21.25</v>
      </c>
      <c r="J147" s="170">
        <v>21.3</v>
      </c>
      <c r="K147" s="171">
        <v>24.68</v>
      </c>
      <c r="L147" s="172">
        <v>23.17</v>
      </c>
    </row>
    <row r="148" spans="1:12" x14ac:dyDescent="0.25">
      <c r="A148" s="173" t="s">
        <v>10</v>
      </c>
      <c r="B148" s="187" t="s">
        <v>144</v>
      </c>
      <c r="C148" s="188" t="s">
        <v>145</v>
      </c>
      <c r="D148" s="143">
        <v>22.329423264248248</v>
      </c>
      <c r="E148" s="142">
        <v>25.7816754513183</v>
      </c>
      <c r="F148" s="143">
        <v>26.987207783361249</v>
      </c>
      <c r="G148" s="142">
        <v>24.536956013159802</v>
      </c>
      <c r="H148" s="143">
        <v>24.129632381671549</v>
      </c>
      <c r="I148" s="176">
        <v>22.13</v>
      </c>
      <c r="J148" s="175">
        <v>21.29</v>
      </c>
      <c r="K148" s="176">
        <v>26.18</v>
      </c>
      <c r="L148" s="177">
        <v>25.29</v>
      </c>
    </row>
    <row r="149" spans="1:12" x14ac:dyDescent="0.25">
      <c r="A149" s="168" t="s">
        <v>10</v>
      </c>
      <c r="B149" s="189" t="s">
        <v>147</v>
      </c>
      <c r="C149" t="s">
        <v>145</v>
      </c>
      <c r="D149" s="138">
        <v>20.573944466161301</v>
      </c>
      <c r="E149" s="2">
        <v>20.334045085815802</v>
      </c>
      <c r="F149" s="138">
        <v>19.541719716809201</v>
      </c>
      <c r="G149" s="2">
        <v>22.2378816758692</v>
      </c>
      <c r="H149" s="138">
        <v>18.22444650386565</v>
      </c>
      <c r="I149" s="171">
        <v>21.6</v>
      </c>
      <c r="J149" s="170">
        <v>21.03</v>
      </c>
      <c r="K149" s="171">
        <v>23.65</v>
      </c>
      <c r="L149" s="172">
        <v>22.84</v>
      </c>
    </row>
    <row r="150" spans="1:12" x14ac:dyDescent="0.25">
      <c r="A150" s="168" t="s">
        <v>10</v>
      </c>
      <c r="B150" s="189" t="s">
        <v>147</v>
      </c>
      <c r="C150" t="s">
        <v>145</v>
      </c>
      <c r="D150" s="138">
        <v>20.029341902235998</v>
      </c>
      <c r="E150" s="2">
        <v>21.251122104137899</v>
      </c>
      <c r="F150" s="138">
        <v>20.022689384851549</v>
      </c>
      <c r="G150" s="2">
        <v>23.337058017634199</v>
      </c>
      <c r="H150" s="138">
        <v>19.845920525498052</v>
      </c>
      <c r="I150" s="171">
        <v>21.42</v>
      </c>
      <c r="J150" s="170">
        <v>21.86</v>
      </c>
      <c r="K150" s="171">
        <v>26.1</v>
      </c>
      <c r="L150" s="172">
        <v>24.44</v>
      </c>
    </row>
    <row r="151" spans="1:12" x14ac:dyDescent="0.25">
      <c r="A151" s="168" t="s">
        <v>10</v>
      </c>
      <c r="B151" s="189" t="s">
        <v>147</v>
      </c>
      <c r="C151" t="s">
        <v>145</v>
      </c>
      <c r="D151" s="138">
        <v>30.489604324436751</v>
      </c>
      <c r="E151" s="2">
        <v>31.843000209578499</v>
      </c>
      <c r="F151" s="138">
        <v>32.025732740818995</v>
      </c>
      <c r="G151" s="2">
        <v>29.849327447935948</v>
      </c>
      <c r="H151" s="138">
        <v>31.085321477893501</v>
      </c>
      <c r="I151" s="171">
        <v>23.3</v>
      </c>
      <c r="J151" s="170">
        <v>29.31</v>
      </c>
      <c r="K151" s="171">
        <v>38.78</v>
      </c>
      <c r="L151" s="172">
        <v>31.47</v>
      </c>
    </row>
    <row r="152" spans="1:12" x14ac:dyDescent="0.25">
      <c r="A152" s="163" t="s">
        <v>10</v>
      </c>
      <c r="B152" s="184" t="s">
        <v>144</v>
      </c>
      <c r="C152" s="185" t="s">
        <v>146</v>
      </c>
      <c r="D152" s="133">
        <v>17.969882590244399</v>
      </c>
      <c r="E152" s="132">
        <v>17.074513499629752</v>
      </c>
      <c r="F152" s="133">
        <v>18.1432354975625</v>
      </c>
      <c r="G152" s="132">
        <v>22.429309878189798</v>
      </c>
      <c r="H152" s="133">
        <v>20.183704230410399</v>
      </c>
      <c r="I152" s="166">
        <v>21.35</v>
      </c>
      <c r="J152" s="165">
        <v>21.24</v>
      </c>
      <c r="K152" s="166">
        <v>22.44</v>
      </c>
      <c r="L152" s="167">
        <v>21.54</v>
      </c>
    </row>
    <row r="153" spans="1:12" x14ac:dyDescent="0.25">
      <c r="A153" s="168" t="s">
        <v>10</v>
      </c>
      <c r="B153" s="186" t="s">
        <v>144</v>
      </c>
      <c r="C153" t="s">
        <v>146</v>
      </c>
      <c r="D153" s="138">
        <v>15.84222915811025</v>
      </c>
      <c r="E153" s="2">
        <v>16.303785126328052</v>
      </c>
      <c r="F153" s="138">
        <v>17.061206669394601</v>
      </c>
      <c r="G153" s="2">
        <v>20.753771044803301</v>
      </c>
      <c r="H153" s="138">
        <v>19.1318676615981</v>
      </c>
      <c r="I153" s="171">
        <v>21.3</v>
      </c>
      <c r="J153" s="170">
        <v>20.05</v>
      </c>
      <c r="K153" s="171">
        <v>21.48</v>
      </c>
      <c r="L153" s="172">
        <v>19.73</v>
      </c>
    </row>
    <row r="154" spans="1:12" x14ac:dyDescent="0.25">
      <c r="A154" s="173" t="s">
        <v>10</v>
      </c>
      <c r="B154" s="187" t="s">
        <v>144</v>
      </c>
      <c r="C154" s="188" t="s">
        <v>146</v>
      </c>
      <c r="D154" s="143">
        <v>15.627482931537351</v>
      </c>
      <c r="E154" s="142">
        <v>17.315194336082801</v>
      </c>
      <c r="F154" s="143">
        <v>18.647952954858553</v>
      </c>
      <c r="G154" s="142">
        <v>22.012114252607951</v>
      </c>
      <c r="H154" s="143">
        <v>19.960732261562651</v>
      </c>
      <c r="I154" s="176">
        <v>21.19</v>
      </c>
      <c r="J154" s="175">
        <v>21.14</v>
      </c>
      <c r="K154" s="176">
        <v>16.32</v>
      </c>
      <c r="L154" s="177">
        <v>21.24</v>
      </c>
    </row>
    <row r="155" spans="1:12" x14ac:dyDescent="0.25">
      <c r="A155" s="168" t="s">
        <v>10</v>
      </c>
      <c r="B155" s="189" t="s">
        <v>147</v>
      </c>
      <c r="C155" t="s">
        <v>146</v>
      </c>
      <c r="D155" s="138">
        <v>15.122657392231101</v>
      </c>
      <c r="E155" s="2">
        <v>14.816427787677249</v>
      </c>
      <c r="F155" s="138">
        <v>16.325431520222452</v>
      </c>
      <c r="G155" s="2">
        <v>20.22816587604655</v>
      </c>
      <c r="H155" s="138">
        <v>18.0661430266026</v>
      </c>
      <c r="I155" s="171">
        <v>20.36</v>
      </c>
      <c r="J155" s="170">
        <v>19.57</v>
      </c>
      <c r="K155" s="171">
        <v>20.72</v>
      </c>
      <c r="L155" s="172">
        <v>18.899999999999999</v>
      </c>
    </row>
    <row r="156" spans="1:12" x14ac:dyDescent="0.25">
      <c r="A156" s="168" t="s">
        <v>10</v>
      </c>
      <c r="B156" s="189" t="s">
        <v>147</v>
      </c>
      <c r="C156" t="s">
        <v>146</v>
      </c>
      <c r="D156" s="138">
        <v>16.365065828084148</v>
      </c>
      <c r="E156" s="2">
        <v>16.36612449698675</v>
      </c>
      <c r="F156" s="138">
        <v>16.938617871772202</v>
      </c>
      <c r="G156" s="2">
        <v>22.602732513832052</v>
      </c>
      <c r="H156" s="138">
        <v>20.140641268390297</v>
      </c>
      <c r="I156" s="171">
        <v>21.09</v>
      </c>
      <c r="J156" s="170">
        <v>20.94</v>
      </c>
      <c r="K156" s="171">
        <v>22.21</v>
      </c>
      <c r="L156" s="172">
        <v>20.94</v>
      </c>
    </row>
    <row r="157" spans="1:12" x14ac:dyDescent="0.25">
      <c r="A157" s="173" t="s">
        <v>10</v>
      </c>
      <c r="B157" s="191" t="s">
        <v>147</v>
      </c>
      <c r="C157" s="188" t="s">
        <v>146</v>
      </c>
      <c r="D157" s="143">
        <v>22.063494034474552</v>
      </c>
      <c r="E157" s="142">
        <v>24.139893690359251</v>
      </c>
      <c r="F157" s="143">
        <v>26.8011133738712</v>
      </c>
      <c r="G157" s="142">
        <v>23.174145558866499</v>
      </c>
      <c r="H157" s="143">
        <v>27.026285609869653</v>
      </c>
      <c r="I157" s="176">
        <v>21.01</v>
      </c>
      <c r="J157" s="175">
        <v>22.27</v>
      </c>
      <c r="K157" s="176">
        <v>26</v>
      </c>
      <c r="L157" s="177">
        <v>25.44</v>
      </c>
    </row>
    <row r="158" spans="1:12" x14ac:dyDescent="0.25">
      <c r="A158" s="163" t="s">
        <v>10</v>
      </c>
      <c r="B158" s="184" t="s">
        <v>144</v>
      </c>
      <c r="C158" s="185" t="s">
        <v>15</v>
      </c>
      <c r="D158" s="133">
        <v>25.863309334762601</v>
      </c>
      <c r="E158" s="132">
        <v>23.528551841024452</v>
      </c>
      <c r="F158" s="133">
        <v>26.503890295776948</v>
      </c>
      <c r="G158" s="132">
        <v>29.823381750827998</v>
      </c>
      <c r="H158" s="133">
        <v>25.119233226615002</v>
      </c>
      <c r="I158" s="166">
        <v>27.55</v>
      </c>
      <c r="J158" s="165">
        <v>27.02</v>
      </c>
      <c r="K158" s="166">
        <v>33.659999999999997</v>
      </c>
      <c r="L158" s="167">
        <v>28.9</v>
      </c>
    </row>
    <row r="159" spans="1:12" x14ac:dyDescent="0.25">
      <c r="A159" s="168" t="s">
        <v>10</v>
      </c>
      <c r="B159" s="186" t="s">
        <v>144</v>
      </c>
      <c r="C159" t="s">
        <v>15</v>
      </c>
      <c r="D159" s="138">
        <v>25.330030295141448</v>
      </c>
      <c r="E159" s="2">
        <v>26.663482199999748</v>
      </c>
      <c r="F159" s="138">
        <v>27.487917043833299</v>
      </c>
      <c r="G159" s="2">
        <v>31.0295215307547</v>
      </c>
      <c r="H159" s="138">
        <v>26.158998183435049</v>
      </c>
      <c r="I159" s="171">
        <v>29.87</v>
      </c>
      <c r="J159" s="170">
        <v>28.22</v>
      </c>
      <c r="K159" s="171">
        <v>32.83</v>
      </c>
      <c r="L159" s="172">
        <v>30.25</v>
      </c>
    </row>
    <row r="160" spans="1:12" x14ac:dyDescent="0.25">
      <c r="A160" s="173" t="s">
        <v>10</v>
      </c>
      <c r="B160" s="187" t="s">
        <v>144</v>
      </c>
      <c r="C160" s="188" t="s">
        <v>15</v>
      </c>
      <c r="D160" s="143">
        <v>25.10889935325115</v>
      </c>
      <c r="E160" s="142">
        <v>26.0620297618451</v>
      </c>
      <c r="F160" s="143">
        <v>27.472840707530199</v>
      </c>
      <c r="G160" s="142">
        <v>27.706763508323299</v>
      </c>
      <c r="H160" s="143">
        <v>23.466499978587851</v>
      </c>
      <c r="I160" s="176">
        <v>25.09</v>
      </c>
      <c r="J160" s="175">
        <v>25.05</v>
      </c>
      <c r="K160" s="176">
        <v>22.54</v>
      </c>
      <c r="L160" s="177">
        <v>28.26</v>
      </c>
    </row>
    <row r="161" spans="1:12" x14ac:dyDescent="0.25">
      <c r="A161" s="168" t="s">
        <v>10</v>
      </c>
      <c r="B161" s="189" t="s">
        <v>147</v>
      </c>
      <c r="C161" t="s">
        <v>15</v>
      </c>
      <c r="D161" s="138">
        <v>21.074509247825048</v>
      </c>
      <c r="E161" s="2">
        <v>21.53390827043545</v>
      </c>
      <c r="F161" s="138">
        <v>22.837213436335599</v>
      </c>
      <c r="G161" s="2">
        <v>26.272278926418451</v>
      </c>
      <c r="H161" s="138">
        <v>20.349590257597399</v>
      </c>
      <c r="I161" s="171">
        <v>24.21</v>
      </c>
      <c r="J161" s="170">
        <v>23.66</v>
      </c>
      <c r="K161" s="171">
        <v>26.77</v>
      </c>
      <c r="L161" s="172">
        <v>25.68</v>
      </c>
    </row>
    <row r="162" spans="1:12" x14ac:dyDescent="0.25">
      <c r="A162" s="168" t="s">
        <v>10</v>
      </c>
      <c r="B162" s="189" t="s">
        <v>147</v>
      </c>
      <c r="C162" t="s">
        <v>15</v>
      </c>
      <c r="D162" s="138">
        <v>27.791782834235647</v>
      </c>
      <c r="E162" s="2">
        <v>28.140961821824497</v>
      </c>
      <c r="F162" s="138">
        <v>28.568930209637749</v>
      </c>
      <c r="G162" s="2">
        <v>33.276924338984855</v>
      </c>
      <c r="H162" s="138">
        <v>27.492808149017399</v>
      </c>
      <c r="I162" s="171">
        <v>29.66</v>
      </c>
      <c r="J162" s="170">
        <v>30.39</v>
      </c>
      <c r="K162" s="171">
        <v>28.34</v>
      </c>
      <c r="L162" s="172">
        <v>30.32</v>
      </c>
    </row>
    <row r="163" spans="1:12" x14ac:dyDescent="0.25">
      <c r="A163" s="173" t="s">
        <v>10</v>
      </c>
      <c r="B163" s="191" t="s">
        <v>147</v>
      </c>
      <c r="C163" s="188" t="s">
        <v>15</v>
      </c>
      <c r="D163" s="143">
        <v>26.856793689393701</v>
      </c>
      <c r="E163" s="142">
        <v>27.893072374199399</v>
      </c>
      <c r="F163" s="143">
        <v>29.915859776591752</v>
      </c>
      <c r="G163" s="142">
        <v>30.196064722983401</v>
      </c>
      <c r="H163" s="143">
        <v>27.14727937348465</v>
      </c>
      <c r="I163" s="176">
        <v>26.57</v>
      </c>
      <c r="J163" s="175">
        <v>27.1</v>
      </c>
      <c r="K163" s="176">
        <v>29.47</v>
      </c>
      <c r="L163" s="177">
        <v>30.72</v>
      </c>
    </row>
    <row r="164" spans="1:12" x14ac:dyDescent="0.25">
      <c r="A164" s="5"/>
      <c r="B164" s="7"/>
      <c r="D164" s="2"/>
      <c r="E164" s="2"/>
      <c r="F164" s="2"/>
      <c r="G164" s="2"/>
      <c r="H164" s="2"/>
      <c r="I164" s="170"/>
      <c r="J164" s="170"/>
      <c r="K164" s="170"/>
      <c r="L164" s="170"/>
    </row>
    <row r="165" spans="1:12" x14ac:dyDescent="0.25">
      <c r="A165" s="5"/>
      <c r="B165" s="7"/>
      <c r="D165" s="2"/>
      <c r="E165" s="2"/>
      <c r="F165" s="2"/>
      <c r="G165" s="2"/>
      <c r="H165" s="2"/>
      <c r="I165" s="170"/>
      <c r="J165" s="170"/>
      <c r="K165" s="170"/>
      <c r="L165" s="170"/>
    </row>
    <row r="166" spans="1:12" x14ac:dyDescent="0.25">
      <c r="A166" s="181" t="s">
        <v>104</v>
      </c>
      <c r="B166" s="182" t="s">
        <v>105</v>
      </c>
      <c r="C166" s="183" t="s">
        <v>2</v>
      </c>
      <c r="D166" s="127" t="s">
        <v>79</v>
      </c>
      <c r="E166" s="126" t="s">
        <v>83</v>
      </c>
      <c r="F166" s="127" t="s">
        <v>91</v>
      </c>
      <c r="G166" s="126" t="s">
        <v>149</v>
      </c>
      <c r="H166" s="127" t="s">
        <v>150</v>
      </c>
      <c r="I166" s="128" t="s">
        <v>121</v>
      </c>
      <c r="J166" s="129" t="s">
        <v>122</v>
      </c>
      <c r="K166" s="128" t="s">
        <v>101</v>
      </c>
      <c r="L166" s="162" t="s">
        <v>102</v>
      </c>
    </row>
    <row r="167" spans="1:12" x14ac:dyDescent="0.25">
      <c r="A167" s="178" t="s">
        <v>33</v>
      </c>
      <c r="B167" s="184" t="s">
        <v>144</v>
      </c>
      <c r="C167" s="185" t="s">
        <v>145</v>
      </c>
      <c r="D167" s="133">
        <v>22.10469419349235</v>
      </c>
      <c r="E167" s="132">
        <v>22.648264429471197</v>
      </c>
      <c r="F167" s="133">
        <v>21.99622249785995</v>
      </c>
      <c r="G167" s="132">
        <v>25.51663054994215</v>
      </c>
      <c r="H167" s="133">
        <v>20.841778297670402</v>
      </c>
      <c r="I167" s="166">
        <v>23.76</v>
      </c>
      <c r="J167" s="165">
        <v>24.09</v>
      </c>
      <c r="K167" s="166">
        <v>28.84</v>
      </c>
      <c r="L167" s="167">
        <v>25.05</v>
      </c>
    </row>
    <row r="168" spans="1:12" x14ac:dyDescent="0.25">
      <c r="A168" s="179" t="s">
        <v>33</v>
      </c>
      <c r="B168" s="186" t="s">
        <v>144</v>
      </c>
      <c r="C168" t="s">
        <v>145</v>
      </c>
      <c r="D168" s="138">
        <v>26.631454411079599</v>
      </c>
      <c r="E168" s="2">
        <v>20.685084937546748</v>
      </c>
      <c r="F168" s="138">
        <v>20.280648584622199</v>
      </c>
      <c r="G168" s="2">
        <v>22.395414892250102</v>
      </c>
      <c r="H168" s="138">
        <v>18.991308036192201</v>
      </c>
      <c r="I168" s="171">
        <v>21.57</v>
      </c>
      <c r="J168" s="170">
        <v>20.49</v>
      </c>
      <c r="K168" s="171">
        <v>20.3</v>
      </c>
      <c r="L168" s="172">
        <v>23.45</v>
      </c>
    </row>
    <row r="169" spans="1:12" x14ac:dyDescent="0.25">
      <c r="A169" s="179" t="s">
        <v>33</v>
      </c>
      <c r="B169" s="186" t="s">
        <v>144</v>
      </c>
      <c r="C169" t="s">
        <v>145</v>
      </c>
      <c r="D169" s="138">
        <v>21.619429508129649</v>
      </c>
      <c r="E169" s="2">
        <v>21.821769898135951</v>
      </c>
      <c r="F169" s="138">
        <v>21.790662478892997</v>
      </c>
      <c r="G169" s="2">
        <v>21.9383306584796</v>
      </c>
      <c r="H169" s="138">
        <v>21.266208062759901</v>
      </c>
      <c r="I169" s="171">
        <v>22.03</v>
      </c>
      <c r="J169" s="170">
        <v>21.75</v>
      </c>
      <c r="K169" s="171">
        <v>24.81</v>
      </c>
      <c r="L169" s="172">
        <v>25.52</v>
      </c>
    </row>
    <row r="170" spans="1:12" x14ac:dyDescent="0.25">
      <c r="A170" s="178" t="s">
        <v>33</v>
      </c>
      <c r="B170" s="190" t="s">
        <v>147</v>
      </c>
      <c r="C170" s="185" t="s">
        <v>145</v>
      </c>
      <c r="D170" s="133">
        <v>21.2684064435816</v>
      </c>
      <c r="E170" s="132">
        <v>23.511487099061398</v>
      </c>
      <c r="F170" s="133">
        <v>21.26840230339025</v>
      </c>
      <c r="G170" s="132">
        <v>23.772447475872802</v>
      </c>
      <c r="H170" s="133">
        <v>19.503083605463651</v>
      </c>
      <c r="I170" s="166">
        <v>20.61</v>
      </c>
      <c r="J170" s="165">
        <v>20.75</v>
      </c>
      <c r="K170" s="166">
        <v>18.809999999999999</v>
      </c>
      <c r="L170" s="167">
        <v>22.95</v>
      </c>
    </row>
    <row r="171" spans="1:12" x14ac:dyDescent="0.25">
      <c r="A171" s="179" t="s">
        <v>33</v>
      </c>
      <c r="B171" s="189" t="s">
        <v>147</v>
      </c>
      <c r="C171" t="s">
        <v>145</v>
      </c>
      <c r="D171" s="138">
        <v>22.7315854191338</v>
      </c>
      <c r="E171" s="2">
        <v>22.411345884458349</v>
      </c>
      <c r="F171" s="138">
        <v>23.616674652946301</v>
      </c>
      <c r="G171" s="2">
        <v>24.5040682162705</v>
      </c>
      <c r="H171" s="138">
        <v>22.303739634366153</v>
      </c>
      <c r="I171" s="171">
        <v>23.46</v>
      </c>
      <c r="J171" s="170">
        <v>23.09</v>
      </c>
      <c r="K171" s="171">
        <v>25.68</v>
      </c>
      <c r="L171" s="172">
        <v>24.41</v>
      </c>
    </row>
    <row r="172" spans="1:12" x14ac:dyDescent="0.25">
      <c r="A172" s="180" t="s">
        <v>33</v>
      </c>
      <c r="B172" s="191" t="s">
        <v>147</v>
      </c>
      <c r="C172" s="188" t="s">
        <v>145</v>
      </c>
      <c r="D172" s="143">
        <v>17.776617007435902</v>
      </c>
      <c r="E172" s="142">
        <v>17.681129998281751</v>
      </c>
      <c r="F172" s="143">
        <v>19.4343706141917</v>
      </c>
      <c r="G172" s="142">
        <v>21.196347499134397</v>
      </c>
      <c r="H172" s="143">
        <v>17.757426833837499</v>
      </c>
      <c r="I172" s="176">
        <v>20.059999999999999</v>
      </c>
      <c r="J172" s="175">
        <v>19.75</v>
      </c>
      <c r="K172" s="176">
        <v>24.15</v>
      </c>
      <c r="L172" s="177">
        <v>21.75</v>
      </c>
    </row>
    <row r="173" spans="1:12" x14ac:dyDescent="0.25">
      <c r="A173" s="178" t="s">
        <v>33</v>
      </c>
      <c r="B173" s="184" t="s">
        <v>144</v>
      </c>
      <c r="C173" s="185" t="s">
        <v>146</v>
      </c>
      <c r="D173" s="133">
        <v>17.029067984885749</v>
      </c>
      <c r="E173" s="132">
        <v>20.609978082701502</v>
      </c>
      <c r="F173" s="133">
        <v>18.972204279325801</v>
      </c>
      <c r="G173" s="132">
        <v>22.1233566771038</v>
      </c>
      <c r="H173" s="133">
        <v>20.359294036999501</v>
      </c>
      <c r="I173" s="166">
        <v>21.44</v>
      </c>
      <c r="J173" s="165">
        <v>20.97</v>
      </c>
      <c r="K173" s="166">
        <v>22.06</v>
      </c>
      <c r="L173" s="167">
        <v>20.420000000000002</v>
      </c>
    </row>
    <row r="174" spans="1:12" x14ac:dyDescent="0.25">
      <c r="A174" s="179" t="s">
        <v>33</v>
      </c>
      <c r="B174" s="186" t="s">
        <v>144</v>
      </c>
      <c r="C174" t="s">
        <v>146</v>
      </c>
      <c r="D174" s="138">
        <v>17.573931711155801</v>
      </c>
      <c r="E174" s="2">
        <v>16.315130029245402</v>
      </c>
      <c r="F174" s="138">
        <v>17.8491352411388</v>
      </c>
      <c r="G174" s="2">
        <v>19.784712886413651</v>
      </c>
      <c r="H174" s="138">
        <v>18.457148865336002</v>
      </c>
      <c r="I174" s="171">
        <v>20.57</v>
      </c>
      <c r="J174" s="170">
        <v>20.62</v>
      </c>
      <c r="K174" s="171">
        <v>18.43</v>
      </c>
      <c r="L174" s="172">
        <v>18.18</v>
      </c>
    </row>
    <row r="175" spans="1:12" x14ac:dyDescent="0.25">
      <c r="A175" s="180" t="s">
        <v>33</v>
      </c>
      <c r="B175" s="187" t="s">
        <v>144</v>
      </c>
      <c r="C175" s="188" t="s">
        <v>146</v>
      </c>
      <c r="D175" s="143">
        <v>25.1802705031924</v>
      </c>
      <c r="E175" s="142">
        <v>25.112721034073552</v>
      </c>
      <c r="F175" s="143">
        <v>26.27243327739955</v>
      </c>
      <c r="G175" s="142">
        <v>32.56682647643985</v>
      </c>
      <c r="H175" s="143">
        <v>30.3230678183252</v>
      </c>
      <c r="I175" s="176">
        <v>25.13</v>
      </c>
      <c r="J175" s="175">
        <v>28.26</v>
      </c>
      <c r="K175" s="176">
        <v>20.67</v>
      </c>
      <c r="L175" s="177">
        <v>28.21</v>
      </c>
    </row>
    <row r="176" spans="1:12" x14ac:dyDescent="0.25">
      <c r="A176" s="179" t="s">
        <v>33</v>
      </c>
      <c r="B176" s="189" t="s">
        <v>147</v>
      </c>
      <c r="C176" t="s">
        <v>146</v>
      </c>
      <c r="D176" s="138">
        <v>14.315032731328198</v>
      </c>
      <c r="E176" s="2">
        <v>16.1054553559784</v>
      </c>
      <c r="F176" s="138">
        <v>18.442391038735849</v>
      </c>
      <c r="G176" s="2">
        <v>31.794231568530648</v>
      </c>
      <c r="H176" s="138">
        <v>19.877836416740251</v>
      </c>
      <c r="I176" s="171">
        <v>19.920000000000002</v>
      </c>
      <c r="J176" s="170">
        <v>19.5</v>
      </c>
      <c r="K176" s="171">
        <v>16.46</v>
      </c>
      <c r="L176" s="172">
        <v>19.09</v>
      </c>
    </row>
    <row r="177" spans="1:12" x14ac:dyDescent="0.25">
      <c r="A177" s="179" t="s">
        <v>33</v>
      </c>
      <c r="B177" s="189" t="s">
        <v>147</v>
      </c>
      <c r="C177" t="s">
        <v>146</v>
      </c>
      <c r="D177" s="138">
        <v>15.370422276535351</v>
      </c>
      <c r="E177" s="2">
        <v>15.60370562079455</v>
      </c>
      <c r="F177" s="138">
        <v>17.737087281133299</v>
      </c>
      <c r="G177" s="2">
        <v>20.500494182894698</v>
      </c>
      <c r="H177" s="138">
        <v>18.646513613337753</v>
      </c>
      <c r="I177" s="171">
        <v>21.71</v>
      </c>
      <c r="J177" s="170">
        <v>20.67</v>
      </c>
      <c r="K177" s="171">
        <v>17.690000000000001</v>
      </c>
      <c r="L177" s="172">
        <v>18.96</v>
      </c>
    </row>
    <row r="178" spans="1:12" x14ac:dyDescent="0.25">
      <c r="A178" s="180" t="s">
        <v>33</v>
      </c>
      <c r="B178" s="191" t="s">
        <v>147</v>
      </c>
      <c r="C178" s="188" t="s">
        <v>146</v>
      </c>
      <c r="D178" s="143">
        <v>15.7806863753509</v>
      </c>
      <c r="E178" s="142">
        <v>14.83690109185545</v>
      </c>
      <c r="F178" s="143">
        <v>16.87052954011445</v>
      </c>
      <c r="G178" s="142">
        <v>20.699943137323199</v>
      </c>
      <c r="H178" s="143">
        <v>18.755684047632052</v>
      </c>
      <c r="I178" s="176">
        <v>19.75</v>
      </c>
      <c r="J178" s="175">
        <v>19.25</v>
      </c>
      <c r="K178" s="176">
        <v>17.079999999999998</v>
      </c>
      <c r="L178" s="177">
        <v>18.45</v>
      </c>
    </row>
    <row r="179" spans="1:12" x14ac:dyDescent="0.25">
      <c r="A179" s="179" t="s">
        <v>33</v>
      </c>
      <c r="B179" s="186" t="s">
        <v>144</v>
      </c>
      <c r="C179" t="s">
        <v>15</v>
      </c>
      <c r="D179" s="138">
        <v>23.815319701060101</v>
      </c>
      <c r="E179" s="2">
        <v>25.938747481368349</v>
      </c>
      <c r="F179" s="138">
        <v>26.435133928184953</v>
      </c>
      <c r="G179" s="2">
        <v>28.55461712095795</v>
      </c>
      <c r="H179" s="138">
        <v>23.819415728292501</v>
      </c>
      <c r="I179" s="171">
        <v>25.71</v>
      </c>
      <c r="J179" s="170">
        <v>25.74</v>
      </c>
      <c r="K179" s="171">
        <v>31.02</v>
      </c>
      <c r="L179" s="172">
        <v>27.71</v>
      </c>
    </row>
    <row r="180" spans="1:12" x14ac:dyDescent="0.25">
      <c r="A180" s="179" t="s">
        <v>33</v>
      </c>
      <c r="B180" s="186" t="s">
        <v>144</v>
      </c>
      <c r="C180" t="s">
        <v>15</v>
      </c>
      <c r="D180" s="138">
        <v>20.723406357806049</v>
      </c>
      <c r="E180" s="2">
        <v>29.62793388247945</v>
      </c>
      <c r="F180" s="138">
        <v>28.627059472213148</v>
      </c>
      <c r="G180" s="2">
        <v>21.365583568224249</v>
      </c>
      <c r="H180" s="138">
        <v>26.2823493946828</v>
      </c>
      <c r="I180" s="171">
        <v>28.26</v>
      </c>
      <c r="J180" s="170">
        <v>29.06</v>
      </c>
      <c r="K180" s="171">
        <v>26.52</v>
      </c>
      <c r="L180" s="172">
        <v>30.56</v>
      </c>
    </row>
    <row r="181" spans="1:12" x14ac:dyDescent="0.25">
      <c r="A181" s="179" t="s">
        <v>33</v>
      </c>
      <c r="B181" s="186" t="s">
        <v>144</v>
      </c>
      <c r="C181" t="s">
        <v>15</v>
      </c>
      <c r="D181" s="138">
        <v>25.9301269387832</v>
      </c>
      <c r="E181" s="2">
        <v>25.969592575193303</v>
      </c>
      <c r="F181" s="138">
        <v>26.678983937338749</v>
      </c>
      <c r="G181" s="2">
        <v>28.203621539011152</v>
      </c>
      <c r="H181" s="138">
        <v>26.125971521535199</v>
      </c>
      <c r="I181" s="171">
        <v>28.17</v>
      </c>
      <c r="J181" s="170">
        <v>28.52</v>
      </c>
      <c r="K181" s="171">
        <v>27.27</v>
      </c>
      <c r="L181" s="172">
        <v>30.91</v>
      </c>
    </row>
    <row r="182" spans="1:12" x14ac:dyDescent="0.25">
      <c r="A182" s="178" t="s">
        <v>33</v>
      </c>
      <c r="B182" s="190" t="s">
        <v>147</v>
      </c>
      <c r="C182" s="185" t="s">
        <v>15</v>
      </c>
      <c r="D182" s="133">
        <v>23.850102190904749</v>
      </c>
      <c r="E182" s="132">
        <v>24.200723734864049</v>
      </c>
      <c r="F182" s="133">
        <v>25.9069854510685</v>
      </c>
      <c r="G182" s="132">
        <v>27.027314056739051</v>
      </c>
      <c r="H182" s="133">
        <v>23.573441429976647</v>
      </c>
      <c r="I182" s="166">
        <v>23.62</v>
      </c>
      <c r="J182" s="165">
        <v>24.96</v>
      </c>
      <c r="K182" s="166">
        <v>22.86</v>
      </c>
      <c r="L182" s="167">
        <v>25.18</v>
      </c>
    </row>
    <row r="183" spans="1:12" x14ac:dyDescent="0.25">
      <c r="A183" s="179" t="s">
        <v>33</v>
      </c>
      <c r="B183" s="189" t="s">
        <v>147</v>
      </c>
      <c r="C183" t="s">
        <v>15</v>
      </c>
      <c r="D183" s="138">
        <v>19.984183837235051</v>
      </c>
      <c r="E183" s="2">
        <v>20.062782862115199</v>
      </c>
      <c r="F183" s="138">
        <v>21.143863707110299</v>
      </c>
      <c r="G183" s="2">
        <v>23.844887127064098</v>
      </c>
      <c r="H183" s="138">
        <v>18.94865335003</v>
      </c>
      <c r="I183" s="171">
        <v>22.8</v>
      </c>
      <c r="J183" s="170">
        <v>22.29</v>
      </c>
      <c r="K183" s="171">
        <v>24.61</v>
      </c>
      <c r="L183" s="172">
        <v>23.76</v>
      </c>
    </row>
    <row r="184" spans="1:12" x14ac:dyDescent="0.25">
      <c r="A184" s="180" t="s">
        <v>33</v>
      </c>
      <c r="B184" s="191" t="s">
        <v>147</v>
      </c>
      <c r="C184" s="188" t="s">
        <v>15</v>
      </c>
      <c r="D184" s="143">
        <v>20.240866409671952</v>
      </c>
      <c r="E184" s="142">
        <v>20.8230599760189</v>
      </c>
      <c r="F184" s="143">
        <v>22.230048931940701</v>
      </c>
      <c r="G184" s="142">
        <v>26.46743179853015</v>
      </c>
      <c r="H184" s="143">
        <v>21.999947830669299</v>
      </c>
      <c r="I184" s="176">
        <v>24.01</v>
      </c>
      <c r="J184" s="175">
        <v>24.18</v>
      </c>
      <c r="K184" s="176">
        <v>23.17</v>
      </c>
      <c r="L184" s="177">
        <v>25.59</v>
      </c>
    </row>
    <row r="186" spans="1:12" x14ac:dyDescent="0.25">
      <c r="A186" s="181" t="s">
        <v>104</v>
      </c>
      <c r="B186" s="182" t="s">
        <v>105</v>
      </c>
      <c r="C186" s="261" t="s">
        <v>79</v>
      </c>
      <c r="D186" s="262" t="s">
        <v>83</v>
      </c>
      <c r="E186" s="261" t="s">
        <v>91</v>
      </c>
      <c r="F186" s="262" t="s">
        <v>149</v>
      </c>
      <c r="G186" s="261" t="s">
        <v>150</v>
      </c>
      <c r="H186" s="263" t="s">
        <v>95</v>
      </c>
      <c r="I186" s="263" t="s">
        <v>122</v>
      </c>
      <c r="J186" s="264" t="s">
        <v>101</v>
      </c>
      <c r="K186" s="265" t="s">
        <v>102</v>
      </c>
    </row>
    <row r="187" spans="1:12" x14ac:dyDescent="0.25">
      <c r="A187" s="163" t="s">
        <v>10</v>
      </c>
      <c r="B187" s="184" t="s">
        <v>144</v>
      </c>
      <c r="C187" s="138" t="e">
        <f>AVERAGE('qPCR raw data'!#REF!)</f>
        <v>#REF!</v>
      </c>
      <c r="D187" s="2" t="e">
        <f>AVERAGE('qPCR raw data'!#REF!)</f>
        <v>#REF!</v>
      </c>
      <c r="E187" s="138" t="e">
        <f>AVERAGE('qPCR raw data'!#REF!)</f>
        <v>#REF!</v>
      </c>
      <c r="F187" s="2" t="e">
        <f>AVERAGE('qPCR raw data'!#REF!)</f>
        <v>#REF!</v>
      </c>
      <c r="G187" s="138" t="e">
        <f>AVERAGE('qPCR raw data'!#REF!)</f>
        <v>#REF!</v>
      </c>
      <c r="H187" s="170">
        <f>AVERAGE('qPCR raw data'!S14:S16)</f>
        <v>24.709999999999997</v>
      </c>
      <c r="I187" s="170">
        <f>AVERAGE('qPCR raw data'!U14:U16)</f>
        <v>23.86</v>
      </c>
      <c r="J187" s="171">
        <f>AVERAGE('qPCR raw data'!V14:V16)</f>
        <v>25.5</v>
      </c>
      <c r="K187" s="258">
        <f>AVERAGE('qPCR raw data'!W14:W16)</f>
        <v>25.153333333333336</v>
      </c>
    </row>
    <row r="188" spans="1:12" x14ac:dyDescent="0.25">
      <c r="A188" s="168" t="s">
        <v>10</v>
      </c>
      <c r="B188" s="186" t="s">
        <v>144</v>
      </c>
      <c r="C188" s="138" t="e">
        <f>AVERAGE('qPCR raw data'!#REF!)</f>
        <v>#REF!</v>
      </c>
      <c r="D188" s="2" t="e">
        <f>AVERAGE('qPCR raw data'!#REF!)</f>
        <v>#REF!</v>
      </c>
      <c r="E188" s="138" t="e">
        <f>AVERAGE('qPCR raw data'!#REF!)</f>
        <v>#REF!</v>
      </c>
      <c r="F188" s="2" t="e">
        <f>AVERAGE('qPCR raw data'!#REF!)</f>
        <v>#REF!</v>
      </c>
      <c r="G188" s="138" t="e">
        <f>AVERAGE('qPCR raw data'!#REF!)</f>
        <v>#REF!</v>
      </c>
      <c r="H188" s="255">
        <f>AVERAGE('qPCR raw data'!S17:S19)</f>
        <v>23.586666666666662</v>
      </c>
      <c r="I188" s="170">
        <f>AVERAGE('qPCR raw data'!U17:U19)</f>
        <v>23.189999999999998</v>
      </c>
      <c r="J188" s="171">
        <f>AVERAGE('qPCR raw data'!V17:V19)</f>
        <v>26.33</v>
      </c>
      <c r="K188" s="258">
        <f>AVERAGE('qPCR raw data'!W17:W19)</f>
        <v>24.383333333333336</v>
      </c>
    </row>
    <row r="189" spans="1:12" x14ac:dyDescent="0.25">
      <c r="A189" s="173" t="s">
        <v>10</v>
      </c>
      <c r="B189" s="186" t="s">
        <v>144</v>
      </c>
      <c r="C189" s="143" t="e">
        <f>AVERAGE('qPCR raw data'!#REF!)</f>
        <v>#REF!</v>
      </c>
      <c r="D189" s="142" t="e">
        <f>AVERAGE('qPCR raw data'!#REF!)</f>
        <v>#REF!</v>
      </c>
      <c r="E189" s="143" t="e">
        <f>AVERAGE('qPCR raw data'!#REF!)</f>
        <v>#REF!</v>
      </c>
      <c r="F189" s="142" t="e">
        <f>AVERAGE('qPCR raw data'!#REF!)</f>
        <v>#REF!</v>
      </c>
      <c r="G189" s="143" t="e">
        <f>AVERAGE('qPCR raw data'!#REF!)</f>
        <v>#REF!</v>
      </c>
      <c r="H189" s="256">
        <f>AVERAGE('qPCR raw data'!S20:S22)</f>
        <v>25.403333333333332</v>
      </c>
      <c r="I189" s="256">
        <f>AVERAGE('qPCR raw data'!U20:U22)</f>
        <v>22.493333333333336</v>
      </c>
      <c r="J189" s="176">
        <f>AVERAGE('qPCR raw data'!V20:V22)</f>
        <v>21.679999999999996</v>
      </c>
      <c r="K189" s="177">
        <f>AVERAGE('qPCR raw data'!W20:W22)</f>
        <v>24.930000000000003</v>
      </c>
    </row>
    <row r="190" spans="1:12" x14ac:dyDescent="0.25">
      <c r="A190" s="168" t="s">
        <v>10</v>
      </c>
      <c r="B190" s="190" t="s">
        <v>147</v>
      </c>
      <c r="C190" s="138" t="e">
        <f>AVERAGE('qPCR raw data'!#REF!)</f>
        <v>#REF!</v>
      </c>
      <c r="D190" s="2" t="e">
        <f>AVERAGE('qPCR raw data'!#REF!)</f>
        <v>#REF!</v>
      </c>
      <c r="E190" s="138" t="e">
        <f>AVERAGE('qPCR raw data'!#REF!)</f>
        <v>#REF!</v>
      </c>
      <c r="F190" s="2" t="e">
        <f>AVERAGE('qPCR raw data'!#REF!)</f>
        <v>#REF!</v>
      </c>
      <c r="G190" s="138" t="e">
        <f>AVERAGE('qPCR raw data'!#REF!)</f>
        <v>#REF!</v>
      </c>
      <c r="H190" s="258">
        <f>AVERAGE('qPCR raw data'!S23:S25)</f>
        <v>21.626666666666665</v>
      </c>
      <c r="I190" s="170">
        <f>AVERAGE('qPCR raw data'!U23:U25)</f>
        <v>21.42</v>
      </c>
      <c r="J190" s="260">
        <f>AVERAGE('qPCR raw data'!V23:V25)</f>
        <v>23.713333333333335</v>
      </c>
      <c r="K190" s="258">
        <f>AVERAGE('qPCR raw data'!W23:W25)</f>
        <v>22.473333333333329</v>
      </c>
    </row>
    <row r="191" spans="1:12" x14ac:dyDescent="0.25">
      <c r="A191" s="168" t="s">
        <v>10</v>
      </c>
      <c r="B191" s="189" t="s">
        <v>147</v>
      </c>
      <c r="C191" s="138" t="e">
        <f>AVERAGE('qPCR raw data'!#REF!)</f>
        <v>#REF!</v>
      </c>
      <c r="D191" s="2" t="e">
        <f>AVERAGE('qPCR raw data'!#REF!)</f>
        <v>#REF!</v>
      </c>
      <c r="E191" s="138" t="e">
        <f>AVERAGE('qPCR raw data'!#REF!)</f>
        <v>#REF!</v>
      </c>
      <c r="F191" s="2" t="e">
        <f>AVERAGE('qPCR raw data'!#REF!)</f>
        <v>#REF!</v>
      </c>
      <c r="G191" s="138" t="e">
        <f>AVERAGE('qPCR raw data'!#REF!)</f>
        <v>#REF!</v>
      </c>
      <c r="H191" s="172">
        <f>AVERAGE('qPCR raw data'!S26:S28)</f>
        <v>25.02</v>
      </c>
      <c r="I191" s="255">
        <f>AVERAGE('qPCR raw data'!U26:U28)</f>
        <v>24.396666666666665</v>
      </c>
      <c r="J191" s="171">
        <f>AVERAGE('qPCR raw data'!V26:V28)</f>
        <v>25.55</v>
      </c>
      <c r="K191" s="258">
        <f>AVERAGE('qPCR raw data'!W26:W28)</f>
        <v>25.233333333333334</v>
      </c>
    </row>
    <row r="192" spans="1:12" x14ac:dyDescent="0.25">
      <c r="A192" s="173" t="s">
        <v>10</v>
      </c>
      <c r="B192" s="191" t="s">
        <v>147</v>
      </c>
      <c r="C192" s="143" t="e">
        <f>AVERAGE('qPCR raw data'!#REF!)</f>
        <v>#REF!</v>
      </c>
      <c r="D192" s="142" t="e">
        <f>AVERAGE('qPCR raw data'!#REF!)</f>
        <v>#REF!</v>
      </c>
      <c r="E192" s="143" t="e">
        <f>AVERAGE('qPCR raw data'!#REF!)</f>
        <v>#REF!</v>
      </c>
      <c r="F192" s="142" t="e">
        <f>AVERAGE('qPCR raw data'!#REF!)</f>
        <v>#REF!</v>
      </c>
      <c r="G192" s="143" t="e">
        <f>AVERAGE('qPCR raw data'!#REF!)</f>
        <v>#REF!</v>
      </c>
      <c r="H192" s="177">
        <f>AVERAGE('qPCR raw data'!S29:S31)</f>
        <v>31.51</v>
      </c>
      <c r="I192" s="256">
        <f>AVERAGE('qPCR raw data'!U29:U31)</f>
        <v>26.22666666666667</v>
      </c>
      <c r="J192" s="257">
        <f>AVERAGE('qPCR raw data'!V29:V31)</f>
        <v>31.416666666666668</v>
      </c>
      <c r="K192" s="177">
        <f>AVERAGE('qPCR raw data'!W29:W31)</f>
        <v>29.209999999999997</v>
      </c>
    </row>
    <row r="194" spans="1:11" x14ac:dyDescent="0.25">
      <c r="A194" s="266" t="s">
        <v>104</v>
      </c>
      <c r="B194" s="267" t="s">
        <v>105</v>
      </c>
      <c r="C194" s="261" t="s">
        <v>79</v>
      </c>
      <c r="D194" s="262" t="s">
        <v>83</v>
      </c>
      <c r="E194" s="261" t="s">
        <v>91</v>
      </c>
      <c r="F194" s="262" t="s">
        <v>149</v>
      </c>
      <c r="G194" s="261" t="s">
        <v>150</v>
      </c>
      <c r="H194" s="263" t="s">
        <v>95</v>
      </c>
      <c r="I194" s="263" t="s">
        <v>122</v>
      </c>
      <c r="J194" s="264" t="s">
        <v>101</v>
      </c>
      <c r="K194" s="265" t="s">
        <v>102</v>
      </c>
    </row>
    <row r="195" spans="1:11" x14ac:dyDescent="0.25">
      <c r="A195" s="179" t="s">
        <v>33</v>
      </c>
      <c r="B195" s="186" t="s">
        <v>144</v>
      </c>
      <c r="C195" s="138" t="e">
        <f>AVERAGE('qPCR raw data'!#REF!)</f>
        <v>#REF!</v>
      </c>
      <c r="D195" s="2" t="e">
        <f>AVERAGE('qPCR raw data'!#REF!)</f>
        <v>#REF!</v>
      </c>
      <c r="E195" s="138" t="e">
        <f>AVERAGE('qPCR raw data'!#REF!)</f>
        <v>#REF!</v>
      </c>
      <c r="F195" s="2" t="e">
        <f>AVERAGE('qPCR raw data'!#REF!)</f>
        <v>#REF!</v>
      </c>
      <c r="G195" s="138" t="e">
        <f>AVERAGE('qPCR raw data'!#REF!)</f>
        <v>#REF!</v>
      </c>
      <c r="H195" s="255">
        <f>AVERAGE('qPCR raw data'!S50:S52)</f>
        <v>26.22666666666667</v>
      </c>
      <c r="I195" s="170">
        <f>AVERAGE('qPCR raw data'!U50:U52)</f>
        <v>23.599999999999998</v>
      </c>
      <c r="J195" s="260">
        <f>AVERAGE('qPCR raw data'!V50:V52)</f>
        <v>27.306666666666668</v>
      </c>
      <c r="K195" s="258">
        <f>AVERAGE('qPCR raw data'!W50:W52)</f>
        <v>24.393333333333334</v>
      </c>
    </row>
    <row r="196" spans="1:11" x14ac:dyDescent="0.25">
      <c r="A196" s="179" t="s">
        <v>33</v>
      </c>
      <c r="B196" s="186" t="s">
        <v>144</v>
      </c>
      <c r="C196" s="138" t="e">
        <f>AVERAGE('qPCR raw data'!#REF!)</f>
        <v>#REF!</v>
      </c>
      <c r="D196" s="2" t="e">
        <f>AVERAGE('qPCR raw data'!#REF!)</f>
        <v>#REF!</v>
      </c>
      <c r="E196" s="138" t="e">
        <f>AVERAGE('qPCR raw data'!#REF!)</f>
        <v>#REF!</v>
      </c>
      <c r="F196" s="2" t="e">
        <f>AVERAGE('qPCR raw data'!#REF!)</f>
        <v>#REF!</v>
      </c>
      <c r="G196" s="138" t="e">
        <f>AVERAGE('qPCR raw data'!#REF!)</f>
        <v>#REF!</v>
      </c>
      <c r="H196" s="255">
        <f>AVERAGE('qPCR raw data'!S53:S55)</f>
        <v>24.209999999999997</v>
      </c>
      <c r="I196" s="170">
        <f>AVERAGE('qPCR raw data'!U53:U55)</f>
        <v>23.39</v>
      </c>
      <c r="J196" s="171">
        <f>AVERAGE('qPCR raw data'!V53:V55)</f>
        <v>21.75</v>
      </c>
      <c r="K196" s="258">
        <f>AVERAGE('qPCR raw data'!W53:W55)</f>
        <v>24.063333333333333</v>
      </c>
    </row>
    <row r="197" spans="1:11" x14ac:dyDescent="0.25">
      <c r="A197" s="179" t="s">
        <v>33</v>
      </c>
      <c r="B197" s="186" t="s">
        <v>144</v>
      </c>
      <c r="C197" s="143" t="e">
        <f>AVERAGE('qPCR raw data'!#REF!)</f>
        <v>#REF!</v>
      </c>
      <c r="D197" s="142" t="e">
        <f>AVERAGE('qPCR raw data'!#REF!)</f>
        <v>#REF!</v>
      </c>
      <c r="E197" s="143" t="e">
        <f>AVERAGE('qPCR raw data'!#REF!)</f>
        <v>#REF!</v>
      </c>
      <c r="F197" s="142" t="e">
        <f>AVERAGE('qPCR raw data'!#REF!)</f>
        <v>#REF!</v>
      </c>
      <c r="G197" s="143" t="e">
        <f>AVERAGE('qPCR raw data'!#REF!)</f>
        <v>#REF!</v>
      </c>
      <c r="H197" s="256">
        <f>AVERAGE('qPCR raw data'!S56:S58)</f>
        <v>28.873333333333335</v>
      </c>
      <c r="I197" s="256">
        <f>AVERAGE('qPCR raw data'!U56:U58)</f>
        <v>26.176666666666666</v>
      </c>
      <c r="J197" s="176">
        <f>AVERAGE('qPCR raw data'!V56:V58)</f>
        <v>24.25</v>
      </c>
      <c r="K197" s="259">
        <f>AVERAGE('qPCR raw data'!W56:W58)</f>
        <v>28.213333333333335</v>
      </c>
    </row>
    <row r="198" spans="1:11" x14ac:dyDescent="0.25">
      <c r="A198" s="178" t="s">
        <v>33</v>
      </c>
      <c r="B198" s="190" t="s">
        <v>147</v>
      </c>
      <c r="C198" s="138" t="e">
        <f>AVERAGE('qPCR raw data'!#REF!)</f>
        <v>#REF!</v>
      </c>
      <c r="D198" s="2" t="e">
        <f>AVERAGE('qPCR raw data'!#REF!)</f>
        <v>#REF!</v>
      </c>
      <c r="E198" s="138" t="e">
        <f>AVERAGE('qPCR raw data'!#REF!)</f>
        <v>#REF!</v>
      </c>
      <c r="F198" s="2" t="e">
        <f>AVERAGE('qPCR raw data'!#REF!)</f>
        <v>#REF!</v>
      </c>
      <c r="G198" s="138" t="e">
        <f>AVERAGE('qPCR raw data'!#REF!)</f>
        <v>#REF!</v>
      </c>
      <c r="H198" s="258">
        <f>AVERAGE('qPCR raw data'!S59:S61)</f>
        <v>26.266666666666669</v>
      </c>
      <c r="I198" s="255">
        <f>AVERAGE('qPCR raw data'!U59:U61)</f>
        <v>21.736666666666668</v>
      </c>
      <c r="J198" s="260">
        <f>AVERAGE('qPCR raw data'!V59:V61)</f>
        <v>19.376666666666665</v>
      </c>
      <c r="K198" s="258">
        <f>AVERAGE('qPCR raw data'!W59:W61)</f>
        <v>22.406666666666666</v>
      </c>
    </row>
    <row r="199" spans="1:11" x14ac:dyDescent="0.25">
      <c r="A199" s="179" t="s">
        <v>33</v>
      </c>
      <c r="B199" s="189" t="s">
        <v>147</v>
      </c>
      <c r="C199" s="138" t="e">
        <f>AVERAGE('qPCR raw data'!#REF!)</f>
        <v>#REF!</v>
      </c>
      <c r="D199" s="2" t="e">
        <f>AVERAGE('qPCR raw data'!#REF!)</f>
        <v>#REF!</v>
      </c>
      <c r="E199" s="138" t="e">
        <f>AVERAGE('qPCR raw data'!#REF!)</f>
        <v>#REF!</v>
      </c>
      <c r="F199" s="2" t="e">
        <f>AVERAGE('qPCR raw data'!#REF!)</f>
        <v>#REF!</v>
      </c>
      <c r="G199" s="138" t="e">
        <f>AVERAGE('qPCR raw data'!#REF!)</f>
        <v>#REF!</v>
      </c>
      <c r="H199" s="172">
        <f>AVERAGE('qPCR raw data'!S62:S64)</f>
        <v>24.349999999999998</v>
      </c>
      <c r="I199" s="255">
        <f>AVERAGE('qPCR raw data'!U62:U64)</f>
        <v>22.016666666666669</v>
      </c>
      <c r="J199" s="171">
        <f>AVERAGE('qPCR raw data'!V62:V64)</f>
        <v>22.66</v>
      </c>
      <c r="K199" s="258">
        <f>AVERAGE('qPCR raw data'!W62:W64)</f>
        <v>22.376666666666669</v>
      </c>
    </row>
    <row r="200" spans="1:11" x14ac:dyDescent="0.25">
      <c r="A200" s="180" t="s">
        <v>33</v>
      </c>
      <c r="B200" s="191" t="s">
        <v>147</v>
      </c>
      <c r="C200" s="143" t="e">
        <f>AVERAGE('qPCR raw data'!#REF!)</f>
        <v>#REF!</v>
      </c>
      <c r="D200" s="142" t="e">
        <f>AVERAGE('qPCR raw data'!#REF!)</f>
        <v>#REF!</v>
      </c>
      <c r="E200" s="143" t="e">
        <f>AVERAGE('qPCR raw data'!#REF!)</f>
        <v>#REF!</v>
      </c>
      <c r="F200" s="142" t="e">
        <f>AVERAGE('qPCR raw data'!#REF!)</f>
        <v>#REF!</v>
      </c>
      <c r="G200" s="143" t="e">
        <f>AVERAGE('qPCR raw data'!#REF!)</f>
        <v>#REF!</v>
      </c>
      <c r="H200" s="259">
        <f>AVERAGE('qPCR raw data'!S65:S67)</f>
        <v>22.936666666666667</v>
      </c>
      <c r="I200" s="256">
        <f>AVERAGE('qPCR raw data'!U65:U67)</f>
        <v>21.06</v>
      </c>
      <c r="J200" s="257">
        <f>AVERAGE('qPCR raw data'!V65:V67)</f>
        <v>21.466666666666669</v>
      </c>
      <c r="K200" s="177">
        <f>AVERAGE('qPCR raw data'!W65:W67)</f>
        <v>21.930000000000003</v>
      </c>
    </row>
  </sheetData>
  <pageMargins left="0.7" right="0.7" top="0.75" bottom="0.75" header="0.3" footer="0.3"/>
  <ignoredErrors>
    <ignoredError sqref="C195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R126"/>
  <sheetViews>
    <sheetView topLeftCell="J13" workbookViewId="0">
      <selection activeCell="I14" sqref="I14:I58"/>
    </sheetView>
  </sheetViews>
  <sheetFormatPr defaultColWidth="11.42578125" defaultRowHeight="15" x14ac:dyDescent="0.25"/>
  <cols>
    <col min="2" max="2" width="22.42578125" customWidth="1"/>
    <col min="19" max="19" width="16.42578125" customWidth="1"/>
  </cols>
  <sheetData>
    <row r="1" spans="1:44" x14ac:dyDescent="0.25">
      <c r="A1" s="73" t="s">
        <v>70</v>
      </c>
      <c r="B1" s="74" t="s">
        <v>71</v>
      </c>
      <c r="C1" s="74" t="s">
        <v>72</v>
      </c>
      <c r="D1" s="74" t="s">
        <v>73</v>
      </c>
      <c r="E1" s="30" t="s">
        <v>74</v>
      </c>
      <c r="F1" s="79" t="s">
        <v>75</v>
      </c>
      <c r="G1" s="80"/>
      <c r="H1" s="81" t="s">
        <v>76</v>
      </c>
      <c r="I1" t="s">
        <v>77</v>
      </c>
      <c r="J1" t="s">
        <v>78</v>
      </c>
    </row>
    <row r="2" spans="1:44" x14ac:dyDescent="0.25">
      <c r="A2" s="76" t="s">
        <v>79</v>
      </c>
      <c r="B2" s="76" t="s">
        <v>80</v>
      </c>
      <c r="C2" s="76">
        <v>21.786000000000001</v>
      </c>
      <c r="D2" s="76">
        <v>-3.3690000000000002</v>
      </c>
      <c r="E2" s="30">
        <v>131</v>
      </c>
      <c r="F2" s="82" t="s">
        <v>81</v>
      </c>
      <c r="G2" s="83">
        <f>6.022*10^23</f>
        <v>6.0219999999999996E+23</v>
      </c>
      <c r="H2" s="84" t="s">
        <v>82</v>
      </c>
      <c r="I2" s="78"/>
    </row>
    <row r="3" spans="1:44" x14ac:dyDescent="0.25">
      <c r="A3" s="75" t="s">
        <v>83</v>
      </c>
      <c r="B3" s="77" t="s">
        <v>84</v>
      </c>
      <c r="C3" s="76">
        <v>24.364999999999998</v>
      </c>
      <c r="D3" s="76">
        <v>-3.2</v>
      </c>
      <c r="E3" s="30">
        <v>125</v>
      </c>
      <c r="F3" s="82" t="s">
        <v>85</v>
      </c>
      <c r="G3" s="83">
        <v>660</v>
      </c>
      <c r="H3" s="84" t="s">
        <v>86</v>
      </c>
      <c r="I3" s="78"/>
    </row>
    <row r="4" spans="1:44" x14ac:dyDescent="0.25">
      <c r="A4" s="75" t="s">
        <v>87</v>
      </c>
      <c r="B4" s="77" t="s">
        <v>88</v>
      </c>
      <c r="C4" s="76">
        <v>25.687999999999999</v>
      </c>
      <c r="D4" s="76">
        <v>-3.5750000000000002</v>
      </c>
      <c r="E4" s="30">
        <v>120</v>
      </c>
      <c r="F4" s="85" t="s">
        <v>89</v>
      </c>
      <c r="G4" s="86">
        <f>1000000000</f>
        <v>1000000000</v>
      </c>
      <c r="H4" s="87" t="s">
        <v>90</v>
      </c>
      <c r="I4" s="78"/>
    </row>
    <row r="5" spans="1:44" x14ac:dyDescent="0.25">
      <c r="A5" s="75" t="s">
        <v>91</v>
      </c>
      <c r="B5" s="77" t="s">
        <v>92</v>
      </c>
      <c r="C5" s="76">
        <v>24.975999999999999</v>
      </c>
      <c r="D5" s="76">
        <v>3.512</v>
      </c>
      <c r="E5" s="30">
        <v>131</v>
      </c>
      <c r="H5" s="78"/>
    </row>
    <row r="6" spans="1:44" x14ac:dyDescent="0.25">
      <c r="A6" s="75" t="s">
        <v>93</v>
      </c>
      <c r="B6" s="77" t="s">
        <v>94</v>
      </c>
      <c r="C6" s="76">
        <v>27.515000000000001</v>
      </c>
      <c r="D6" s="76">
        <v>-3.3580000000000001</v>
      </c>
      <c r="E6" s="30">
        <v>125</v>
      </c>
    </row>
    <row r="7" spans="1:44" x14ac:dyDescent="0.25">
      <c r="A7" s="75" t="s">
        <v>95</v>
      </c>
      <c r="B7" s="77" t="s">
        <v>96</v>
      </c>
      <c r="C7" s="76">
        <v>27.661999999999999</v>
      </c>
      <c r="D7" s="76">
        <f>-3.439</f>
        <v>-3.4390000000000001</v>
      </c>
      <c r="E7" s="30">
        <v>108</v>
      </c>
      <c r="F7" s="22"/>
    </row>
    <row r="8" spans="1:44" x14ac:dyDescent="0.25">
      <c r="A8" s="75" t="s">
        <v>97</v>
      </c>
      <c r="B8" s="77" t="s">
        <v>98</v>
      </c>
      <c r="C8" s="76">
        <v>25.686</v>
      </c>
      <c r="D8" s="76">
        <v>-3.2528000000000001</v>
      </c>
      <c r="E8" s="30">
        <v>132</v>
      </c>
      <c r="F8" s="22"/>
    </row>
    <row r="9" spans="1:44" x14ac:dyDescent="0.25">
      <c r="A9" s="75" t="s">
        <v>99</v>
      </c>
      <c r="B9" s="77" t="s">
        <v>100</v>
      </c>
      <c r="C9" s="76">
        <v>26.678999999999998</v>
      </c>
      <c r="D9" s="76">
        <f>-3.176</f>
        <v>-3.1760000000000002</v>
      </c>
      <c r="E9" s="30">
        <v>111</v>
      </c>
      <c r="F9" s="22"/>
    </row>
    <row r="10" spans="1:44" x14ac:dyDescent="0.25">
      <c r="A10" s="75" t="s">
        <v>101</v>
      </c>
      <c r="B10" s="77" t="s">
        <v>100</v>
      </c>
      <c r="C10" s="76">
        <v>28.867000000000001</v>
      </c>
      <c r="D10" s="76">
        <v>-3.5630000000000002</v>
      </c>
      <c r="E10" s="30">
        <v>122</v>
      </c>
      <c r="F10" s="22"/>
    </row>
    <row r="11" spans="1:44" x14ac:dyDescent="0.25">
      <c r="A11" s="75" t="s">
        <v>102</v>
      </c>
      <c r="B11" s="77" t="s">
        <v>100</v>
      </c>
      <c r="C11" s="76">
        <v>25.530999999999999</v>
      </c>
      <c r="D11" s="76">
        <v>-3.2440000000000002</v>
      </c>
      <c r="E11" s="30">
        <v>96</v>
      </c>
    </row>
    <row r="12" spans="1:44" x14ac:dyDescent="0.25">
      <c r="Y12" s="93"/>
      <c r="Z12" s="93"/>
      <c r="AA12" s="93"/>
      <c r="AB12" s="93"/>
      <c r="AC12" s="93"/>
      <c r="AD12" s="93"/>
      <c r="AE12" s="93"/>
      <c r="AF12" s="93"/>
      <c r="AG12" s="95" t="s">
        <v>103</v>
      </c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</row>
    <row r="13" spans="1:44" x14ac:dyDescent="0.25">
      <c r="A13" s="91" t="s">
        <v>104</v>
      </c>
      <c r="B13" s="91" t="s">
        <v>105</v>
      </c>
      <c r="C13" s="271" t="s">
        <v>229</v>
      </c>
      <c r="D13" s="270" t="s">
        <v>106</v>
      </c>
      <c r="E13" s="92" t="s">
        <v>107</v>
      </c>
      <c r="F13" s="279" t="s">
        <v>108</v>
      </c>
      <c r="G13" s="92" t="s">
        <v>109</v>
      </c>
      <c r="H13" s="92" t="s">
        <v>110</v>
      </c>
      <c r="I13" s="279" t="s">
        <v>111</v>
      </c>
      <c r="J13" s="92" t="s">
        <v>112</v>
      </c>
      <c r="K13" s="92" t="s">
        <v>113</v>
      </c>
      <c r="L13" s="279" t="s">
        <v>114</v>
      </c>
      <c r="M13" s="92" t="s">
        <v>115</v>
      </c>
      <c r="N13" s="92" t="s">
        <v>116</v>
      </c>
      <c r="O13" s="279" t="s">
        <v>117</v>
      </c>
      <c r="P13" s="92" t="s">
        <v>118</v>
      </c>
      <c r="Q13" s="92" t="s">
        <v>119</v>
      </c>
      <c r="R13" s="279" t="s">
        <v>120</v>
      </c>
      <c r="S13" s="92" t="s">
        <v>95</v>
      </c>
      <c r="T13" s="92" t="s">
        <v>121</v>
      </c>
      <c r="U13" s="92" t="s">
        <v>122</v>
      </c>
      <c r="V13" s="92" t="s">
        <v>101</v>
      </c>
      <c r="W13" s="92" t="s">
        <v>102</v>
      </c>
      <c r="X13" s="8" t="s">
        <v>123</v>
      </c>
      <c r="Y13" s="94" t="s">
        <v>124</v>
      </c>
      <c r="Z13" s="94" t="s">
        <v>125</v>
      </c>
      <c r="AA13" s="94" t="s">
        <v>126</v>
      </c>
      <c r="AB13" s="94" t="s">
        <v>127</v>
      </c>
      <c r="AC13" s="94" t="s">
        <v>128</v>
      </c>
      <c r="AD13" s="94" t="s">
        <v>129</v>
      </c>
      <c r="AE13" s="94" t="s">
        <v>130</v>
      </c>
      <c r="AF13" s="94" t="s">
        <v>131</v>
      </c>
      <c r="AG13" s="94" t="s">
        <v>132</v>
      </c>
      <c r="AH13" s="94" t="s">
        <v>133</v>
      </c>
      <c r="AI13" s="94" t="s">
        <v>134</v>
      </c>
      <c r="AJ13" s="94" t="s">
        <v>135</v>
      </c>
      <c r="AK13" s="94" t="s">
        <v>136</v>
      </c>
      <c r="AL13" s="94" t="s">
        <v>137</v>
      </c>
      <c r="AM13" s="94" t="s">
        <v>138</v>
      </c>
      <c r="AN13" s="94" t="s">
        <v>139</v>
      </c>
      <c r="AO13" s="94" t="s">
        <v>140</v>
      </c>
      <c r="AP13" s="94" t="s">
        <v>141</v>
      </c>
      <c r="AQ13" s="94" t="s">
        <v>142</v>
      </c>
      <c r="AR13" s="94" t="s">
        <v>143</v>
      </c>
    </row>
    <row r="14" spans="1:44" x14ac:dyDescent="0.25">
      <c r="A14" s="163" t="s">
        <v>10</v>
      </c>
      <c r="B14" s="184" t="s">
        <v>144</v>
      </c>
      <c r="C14" s="185" t="s">
        <v>145</v>
      </c>
      <c r="D14" s="272">
        <v>20.239999999999998</v>
      </c>
      <c r="E14" s="273">
        <v>19.45</v>
      </c>
      <c r="F14" s="280">
        <v>19.84</v>
      </c>
      <c r="G14" s="273">
        <v>21.43</v>
      </c>
      <c r="H14" s="275">
        <v>23.07</v>
      </c>
      <c r="I14" s="280">
        <v>22.25</v>
      </c>
      <c r="J14" s="273">
        <v>22.5</v>
      </c>
      <c r="K14" s="274">
        <v>22.09</v>
      </c>
      <c r="L14" s="283">
        <v>22.29</v>
      </c>
      <c r="M14" s="275">
        <v>24.94</v>
      </c>
      <c r="N14" s="274">
        <v>25.11</v>
      </c>
      <c r="O14" s="283">
        <v>25.03</v>
      </c>
      <c r="P14" s="274">
        <v>22.16</v>
      </c>
      <c r="Q14" s="273">
        <v>21.75</v>
      </c>
      <c r="R14" s="286">
        <v>21.95</v>
      </c>
      <c r="S14" s="165">
        <v>24.14</v>
      </c>
      <c r="T14" s="166">
        <v>23.22</v>
      </c>
      <c r="U14" s="165">
        <v>23.32</v>
      </c>
      <c r="V14" s="166">
        <v>20.399999999999999</v>
      </c>
      <c r="W14" s="167">
        <v>25.02</v>
      </c>
      <c r="X14" s="252">
        <v>28.53749147377555</v>
      </c>
      <c r="Y14" s="88" t="e">
        <f>10^((#REF!-C$2)/D$2)</f>
        <v>#REF!</v>
      </c>
      <c r="Z14" s="88" t="e">
        <f>10^((#REF!-C$3)/D$3)</f>
        <v>#REF!</v>
      </c>
      <c r="AA14" s="88" t="e">
        <f>10^((#REF!-C$5)/D$5)</f>
        <v>#REF!</v>
      </c>
      <c r="AB14" s="88" t="e">
        <f>10^((#REF!-C$6)/D$6)</f>
        <v>#REF!</v>
      </c>
      <c r="AC14" s="88" t="e">
        <f>10^((#REF!-C$4)/D$4)</f>
        <v>#REF!</v>
      </c>
      <c r="AD14" s="88">
        <f t="shared" ref="AD14:AD45" si="0">10^((S14-C$7)/D$7)</f>
        <v>10.571458833599001</v>
      </c>
      <c r="AE14" s="88">
        <f>10^((T14-C$8)/D$8)</f>
        <v>5.7294915678087825</v>
      </c>
      <c r="AF14" s="88">
        <f t="shared" ref="AF14:AF45" si="1">10^((U14-C$9)/D$9)</f>
        <v>11.41877846599081</v>
      </c>
      <c r="AG14" s="88">
        <f t="shared" ref="AG14:AG45" si="2">10^((V14-C$10)/D$10)</f>
        <v>237.88564133610424</v>
      </c>
      <c r="AH14" s="88">
        <f t="shared" ref="AH14:AH45" si="3">10^((W14-C$11)/D$11)</f>
        <v>1.4372144608307105</v>
      </c>
      <c r="AI14" s="70" t="e">
        <f t="shared" ref="AI14:AI45" si="4">($G$2*Y14/G$4)/($E$2*G$3)</f>
        <v>#REF!</v>
      </c>
      <c r="AJ14" s="70" t="e">
        <f t="shared" ref="AJ14:AJ45" si="5">($G$2*Z14/$G$4)/($E$3*G$3)</f>
        <v>#REF!</v>
      </c>
      <c r="AK14" s="70" t="e">
        <f t="shared" ref="AK14:AK45" si="6">($G$2*AA14/$G$4)/($E$5*G$3)</f>
        <v>#REF!</v>
      </c>
      <c r="AL14" s="70" t="e">
        <f t="shared" ref="AL14:AL45" si="7">($G$2*AB14/$G$4)/($E$6*G$3)</f>
        <v>#REF!</v>
      </c>
      <c r="AM14" s="70" t="e">
        <f t="shared" ref="AM14:AM45" si="8">($G$2*AC14/$G$4)/($E$4*G$3)</f>
        <v>#REF!</v>
      </c>
      <c r="AN14" s="70">
        <f t="shared" ref="AN14:AN45" si="9">($G$2*AD14/$G$4)/($E$7*G$3)</f>
        <v>89311623310.792908</v>
      </c>
      <c r="AO14" s="70">
        <f t="shared" ref="AO14:AO45" si="10">($G$2*AE14/$G$4)/($E$8*G$3)</f>
        <v>39603992448.742531</v>
      </c>
      <c r="AP14" s="70">
        <f t="shared" ref="AP14:AP45" si="11">($G$2*AF14/$G$4)/($E$9*G$3)</f>
        <v>93862795416.593857</v>
      </c>
      <c r="AQ14" s="70">
        <f t="shared" ref="AQ14:AQ45" si="12">($G$2*AG14/$G$4)/($E$10*G$3)</f>
        <v>1779119885899.1799</v>
      </c>
      <c r="AR14" s="70">
        <f t="shared" ref="AR14:AR45" si="13">($G$2*AH14/$G$4)/($E$11*G$3)</f>
        <v>13659888704.423197</v>
      </c>
    </row>
    <row r="15" spans="1:44" x14ac:dyDescent="0.25">
      <c r="A15" s="168" t="s">
        <v>10</v>
      </c>
      <c r="B15" s="186" t="s">
        <v>144</v>
      </c>
      <c r="C15" t="s">
        <v>146</v>
      </c>
      <c r="D15" s="276">
        <v>18.2</v>
      </c>
      <c r="E15" s="260">
        <v>17.739999999999998</v>
      </c>
      <c r="F15" s="281">
        <v>17.97</v>
      </c>
      <c r="G15" s="260">
        <v>17.010000000000002</v>
      </c>
      <c r="H15" s="258">
        <v>17.13</v>
      </c>
      <c r="I15" s="281">
        <v>17.07</v>
      </c>
      <c r="J15" s="260">
        <v>18.260000000000002</v>
      </c>
      <c r="K15" s="255">
        <v>18.03</v>
      </c>
      <c r="L15" s="284">
        <v>18.14</v>
      </c>
      <c r="M15" s="258">
        <v>22.54</v>
      </c>
      <c r="N15" s="255">
        <v>22.31</v>
      </c>
      <c r="O15" s="284">
        <v>22.43</v>
      </c>
      <c r="P15" s="255">
        <v>20.3</v>
      </c>
      <c r="Q15" s="260">
        <v>20.07</v>
      </c>
      <c r="R15" s="287">
        <v>20.18</v>
      </c>
      <c r="S15" s="170">
        <v>21.57</v>
      </c>
      <c r="T15" s="171">
        <v>21.35</v>
      </c>
      <c r="U15" s="170">
        <v>21.24</v>
      </c>
      <c r="V15" s="171">
        <v>22.44</v>
      </c>
      <c r="W15" s="172">
        <v>21.54</v>
      </c>
      <c r="X15" s="253">
        <v>24.483692575365147</v>
      </c>
      <c r="Y15" s="89" t="e">
        <f>10^((#REF!-C$2)/D$2)</f>
        <v>#REF!</v>
      </c>
      <c r="Z15" s="89" t="e">
        <f>10^((#REF!-C$3)/D$3)</f>
        <v>#REF!</v>
      </c>
      <c r="AA15" s="89" t="e">
        <f>10^((#REF!-C$5)/D$5)</f>
        <v>#REF!</v>
      </c>
      <c r="AB15" s="89" t="e">
        <f>10^((#REF!-C$6)/D$6)</f>
        <v>#REF!</v>
      </c>
      <c r="AC15" s="89" t="e">
        <f>10^((#REF!-C$4)/D$4)</f>
        <v>#REF!</v>
      </c>
      <c r="AD15" s="89">
        <f t="shared" si="0"/>
        <v>59.080639500499814</v>
      </c>
      <c r="AE15" s="89">
        <f t="shared" ref="AE15:AE46" si="14">10^((T15-D$8)/E$8)</f>
        <v>1.5359774808010109</v>
      </c>
      <c r="AF15" s="89">
        <f t="shared" si="1"/>
        <v>51.585956329282531</v>
      </c>
      <c r="AG15" s="89">
        <f t="shared" si="2"/>
        <v>63.652726087758076</v>
      </c>
      <c r="AH15" s="89">
        <f t="shared" si="3"/>
        <v>16.993047447480038</v>
      </c>
      <c r="AI15" s="71" t="e">
        <f t="shared" si="4"/>
        <v>#REF!</v>
      </c>
      <c r="AJ15" s="71" t="e">
        <f t="shared" si="5"/>
        <v>#REF!</v>
      </c>
      <c r="AK15" s="71" t="e">
        <f t="shared" si="6"/>
        <v>#REF!</v>
      </c>
      <c r="AL15" s="71" t="e">
        <f t="shared" si="7"/>
        <v>#REF!</v>
      </c>
      <c r="AM15" s="71" t="e">
        <f t="shared" si="8"/>
        <v>#REF!</v>
      </c>
      <c r="AN15" s="71">
        <f t="shared" si="9"/>
        <v>499135256835.03064</v>
      </c>
      <c r="AO15" s="71">
        <f t="shared" si="10"/>
        <v>10617144615.913322</v>
      </c>
      <c r="AP15" s="71">
        <f t="shared" si="11"/>
        <v>424038532643.92487</v>
      </c>
      <c r="AQ15" s="71">
        <f t="shared" si="12"/>
        <v>476051560482.46289</v>
      </c>
      <c r="AR15" s="71">
        <f t="shared" si="13"/>
        <v>161509046289.02271</v>
      </c>
    </row>
    <row r="16" spans="1:44" x14ac:dyDescent="0.25">
      <c r="A16" s="173" t="s">
        <v>10</v>
      </c>
      <c r="B16" s="187" t="s">
        <v>144</v>
      </c>
      <c r="C16" s="188" t="s">
        <v>15</v>
      </c>
      <c r="D16" s="277">
        <v>25.69</v>
      </c>
      <c r="E16" s="257">
        <v>26.03</v>
      </c>
      <c r="F16" s="282">
        <v>25.86</v>
      </c>
      <c r="G16" s="257">
        <v>22.98</v>
      </c>
      <c r="H16" s="259">
        <v>24.07</v>
      </c>
      <c r="I16" s="282">
        <v>23.53</v>
      </c>
      <c r="J16" s="257">
        <v>26.56</v>
      </c>
      <c r="K16" s="256">
        <v>26.44</v>
      </c>
      <c r="L16" s="285">
        <v>26.5</v>
      </c>
      <c r="M16" s="259">
        <v>30.1</v>
      </c>
      <c r="N16" s="256">
        <v>29.55</v>
      </c>
      <c r="O16" s="285">
        <v>29.82</v>
      </c>
      <c r="P16" s="256">
        <v>25.36</v>
      </c>
      <c r="Q16" s="257">
        <v>24.88</v>
      </c>
      <c r="R16" s="288">
        <v>25.12</v>
      </c>
      <c r="S16" s="175">
        <v>28.42</v>
      </c>
      <c r="T16" s="176">
        <v>27.55</v>
      </c>
      <c r="U16" s="175">
        <v>27.02</v>
      </c>
      <c r="V16" s="176">
        <v>33.659999999999997</v>
      </c>
      <c r="W16" s="177">
        <v>28.9</v>
      </c>
      <c r="X16" s="254">
        <v>24.48111191743175</v>
      </c>
      <c r="Y16" s="90" t="e">
        <f>10^((#REF!-C$2)/D$2)</f>
        <v>#REF!</v>
      </c>
      <c r="Z16" s="90" t="e">
        <f>10^((#REF!-C$3)/D$3)</f>
        <v>#REF!</v>
      </c>
      <c r="AA16" s="90" t="e">
        <f>10^((#REF!-C$5)/D$5)</f>
        <v>#REF!</v>
      </c>
      <c r="AB16" s="90" t="e">
        <f>10^((#REF!-C$6)/D$6)</f>
        <v>#REF!</v>
      </c>
      <c r="AC16" s="90" t="e">
        <f>10^((#REF!-C$4)/D$4)</f>
        <v>#REF!</v>
      </c>
      <c r="AD16" s="90">
        <f t="shared" si="0"/>
        <v>0.60198696751729852</v>
      </c>
      <c r="AE16" s="90">
        <f t="shared" si="14"/>
        <v>1.7114118921221764</v>
      </c>
      <c r="AF16" s="90">
        <f t="shared" si="1"/>
        <v>0.78096620660672855</v>
      </c>
      <c r="AG16" s="90">
        <f t="shared" si="2"/>
        <v>4.5163261083353223E-2</v>
      </c>
      <c r="AH16" s="90">
        <f t="shared" si="3"/>
        <v>9.1509740604299186E-2</v>
      </c>
      <c r="AI16" s="72" t="e">
        <f t="shared" si="4"/>
        <v>#REF!</v>
      </c>
      <c r="AJ16" s="72" t="e">
        <f t="shared" si="5"/>
        <v>#REF!</v>
      </c>
      <c r="AK16" s="72" t="e">
        <f t="shared" si="6"/>
        <v>#REF!</v>
      </c>
      <c r="AL16" s="72" t="e">
        <f t="shared" si="7"/>
        <v>#REF!</v>
      </c>
      <c r="AM16" s="72" t="e">
        <f t="shared" si="8"/>
        <v>#REF!</v>
      </c>
      <c r="AN16" s="72">
        <f t="shared" si="9"/>
        <v>5085810210.9836855</v>
      </c>
      <c r="AO16" s="72">
        <f t="shared" si="10"/>
        <v>11829800751.101637</v>
      </c>
      <c r="AP16" s="72">
        <f t="shared" si="11"/>
        <v>6419572066.8655729</v>
      </c>
      <c r="AQ16" s="72">
        <f t="shared" si="12"/>
        <v>337770936.71628553</v>
      </c>
      <c r="AR16" s="72">
        <f t="shared" si="13"/>
        <v>869746934.84704804</v>
      </c>
    </row>
    <row r="17" spans="1:44" x14ac:dyDescent="0.25">
      <c r="A17" s="168" t="s">
        <v>10</v>
      </c>
      <c r="B17" s="186" t="s">
        <v>144</v>
      </c>
      <c r="C17" t="s">
        <v>145</v>
      </c>
      <c r="D17" s="276">
        <v>19.690000000000001</v>
      </c>
      <c r="E17" s="260">
        <v>19.89</v>
      </c>
      <c r="F17" s="281">
        <v>19.79</v>
      </c>
      <c r="G17" s="260">
        <v>20.34</v>
      </c>
      <c r="H17" s="258">
        <v>20.37</v>
      </c>
      <c r="I17" s="281">
        <v>20.350000000000001</v>
      </c>
      <c r="J17" s="260">
        <v>20.47</v>
      </c>
      <c r="K17" s="255">
        <v>20.66</v>
      </c>
      <c r="L17" s="284">
        <v>20.56</v>
      </c>
      <c r="M17" s="258">
        <v>22.44</v>
      </c>
      <c r="N17" s="255">
        <v>22.47</v>
      </c>
      <c r="O17" s="284">
        <v>22.46</v>
      </c>
      <c r="P17" s="255">
        <v>19.54</v>
      </c>
      <c r="Q17" s="260">
        <v>19.190000000000001</v>
      </c>
      <c r="R17" s="287">
        <v>19.37</v>
      </c>
      <c r="S17" s="170">
        <v>21.96</v>
      </c>
      <c r="T17" s="171">
        <v>21.25</v>
      </c>
      <c r="U17" s="170">
        <v>21.3</v>
      </c>
      <c r="V17" s="171">
        <v>24.68</v>
      </c>
      <c r="W17" s="172">
        <v>23.17</v>
      </c>
      <c r="X17" s="253">
        <v>30.584743977551401</v>
      </c>
      <c r="Y17" s="88" t="e">
        <f>10^((#REF!-C$2)/D$2)</f>
        <v>#REF!</v>
      </c>
      <c r="Z17" s="88" t="e">
        <f>10^((#REF!-C$3)/D$3)</f>
        <v>#REF!</v>
      </c>
      <c r="AA17" s="88" t="e">
        <f>10^((#REF!-C$5)/D$5)</f>
        <v>#REF!</v>
      </c>
      <c r="AB17" s="88" t="e">
        <f>10^((#REF!-C$6)/D$6)</f>
        <v>#REF!</v>
      </c>
      <c r="AC17" s="88" t="e">
        <f>10^((#REF!-C$4)/D$4)</f>
        <v>#REF!</v>
      </c>
      <c r="AD17" s="88">
        <f t="shared" si="0"/>
        <v>45.50301020818516</v>
      </c>
      <c r="AE17" s="88">
        <f t="shared" si="14"/>
        <v>1.5333004838708433</v>
      </c>
      <c r="AF17" s="88">
        <f t="shared" si="1"/>
        <v>49.390087832730494</v>
      </c>
      <c r="AG17" s="88">
        <f t="shared" si="2"/>
        <v>14.966950234560214</v>
      </c>
      <c r="AH17" s="88">
        <f t="shared" si="3"/>
        <v>5.3432461166109579</v>
      </c>
      <c r="AI17" s="70" t="e">
        <f t="shared" si="4"/>
        <v>#REF!</v>
      </c>
      <c r="AJ17" s="70" t="e">
        <f t="shared" si="5"/>
        <v>#REF!</v>
      </c>
      <c r="AK17" s="70" t="e">
        <f t="shared" si="6"/>
        <v>#REF!</v>
      </c>
      <c r="AL17" s="70" t="e">
        <f t="shared" si="7"/>
        <v>#REF!</v>
      </c>
      <c r="AM17" s="70" t="e">
        <f t="shared" si="8"/>
        <v>#REF!</v>
      </c>
      <c r="AN17" s="70">
        <f t="shared" si="9"/>
        <v>384426385344.68433</v>
      </c>
      <c r="AO17" s="70">
        <f t="shared" si="10"/>
        <v>10598640397.004381</v>
      </c>
      <c r="AP17" s="70">
        <f t="shared" si="11"/>
        <v>405988409676.08936</v>
      </c>
      <c r="AQ17" s="70">
        <f t="shared" si="12"/>
        <v>111936133025.98311</v>
      </c>
      <c r="AR17" s="70">
        <f t="shared" si="13"/>
        <v>50784450937.864876</v>
      </c>
    </row>
    <row r="18" spans="1:44" x14ac:dyDescent="0.25">
      <c r="A18" s="168" t="s">
        <v>10</v>
      </c>
      <c r="B18" s="186" t="s">
        <v>144</v>
      </c>
      <c r="C18" t="s">
        <v>146</v>
      </c>
      <c r="D18" s="276">
        <v>15.78</v>
      </c>
      <c r="E18" s="260">
        <v>15.9</v>
      </c>
      <c r="F18" s="281">
        <v>15.84</v>
      </c>
      <c r="G18" s="260">
        <v>16.39</v>
      </c>
      <c r="H18" s="258">
        <v>16.22</v>
      </c>
      <c r="I18" s="281">
        <v>16.3</v>
      </c>
      <c r="J18" s="260">
        <v>17.11</v>
      </c>
      <c r="K18" s="255">
        <v>17.010000000000002</v>
      </c>
      <c r="L18" s="284">
        <v>17.059999999999999</v>
      </c>
      <c r="M18" s="258">
        <v>20.91</v>
      </c>
      <c r="N18" s="255">
        <v>20.6</v>
      </c>
      <c r="O18" s="284">
        <v>20.75</v>
      </c>
      <c r="P18" s="255">
        <v>19.149999999999999</v>
      </c>
      <c r="Q18" s="260">
        <v>19.11</v>
      </c>
      <c r="R18" s="287">
        <v>19.13</v>
      </c>
      <c r="S18" s="170">
        <v>20.23</v>
      </c>
      <c r="T18" s="171">
        <v>21.3</v>
      </c>
      <c r="U18" s="170">
        <v>20.05</v>
      </c>
      <c r="V18" s="171">
        <v>21.48</v>
      </c>
      <c r="W18" s="172">
        <v>19.73</v>
      </c>
      <c r="X18" s="253">
        <v>26.912748443149098</v>
      </c>
      <c r="Y18" s="89" t="e">
        <f>10^((#REF!-C$2)/D$2)</f>
        <v>#REF!</v>
      </c>
      <c r="Z18" s="89" t="e">
        <f>10^((#REF!-C$3)/D$3)</f>
        <v>#REF!</v>
      </c>
      <c r="AA18" s="89" t="e">
        <f>10^((#REF!-C$5)/D$5)</f>
        <v>#REF!</v>
      </c>
      <c r="AB18" s="89" t="e">
        <f>10^((#REF!-C$6)/D$6)</f>
        <v>#REF!</v>
      </c>
      <c r="AC18" s="89" t="e">
        <f>10^((#REF!-C$4)/D$4)</f>
        <v>#REF!</v>
      </c>
      <c r="AD18" s="89">
        <f t="shared" si="0"/>
        <v>144.90832654536473</v>
      </c>
      <c r="AE18" s="89">
        <f t="shared" si="14"/>
        <v>1.5346383986225907</v>
      </c>
      <c r="AF18" s="89">
        <f t="shared" si="1"/>
        <v>122.24092419059563</v>
      </c>
      <c r="AG18" s="89">
        <f t="shared" si="2"/>
        <v>118.37306063039603</v>
      </c>
      <c r="AH18" s="89">
        <f t="shared" si="3"/>
        <v>61.407923822045497</v>
      </c>
      <c r="AI18" s="71" t="e">
        <f t="shared" si="4"/>
        <v>#REF!</v>
      </c>
      <c r="AJ18" s="71" t="e">
        <f t="shared" si="5"/>
        <v>#REF!</v>
      </c>
      <c r="AK18" s="71" t="e">
        <f t="shared" si="6"/>
        <v>#REF!</v>
      </c>
      <c r="AL18" s="71" t="e">
        <f t="shared" si="7"/>
        <v>#REF!</v>
      </c>
      <c r="AM18" s="71" t="e">
        <f t="shared" si="8"/>
        <v>#REF!</v>
      </c>
      <c r="AN18" s="71">
        <f t="shared" si="9"/>
        <v>1224239537677.0293</v>
      </c>
      <c r="AO18" s="71">
        <f t="shared" si="10"/>
        <v>10607888471.654316</v>
      </c>
      <c r="AP18" s="71">
        <f t="shared" si="11"/>
        <v>1004825068899.4907</v>
      </c>
      <c r="AQ18" s="71">
        <f t="shared" si="12"/>
        <v>885298771878.09839</v>
      </c>
      <c r="AR18" s="71">
        <f t="shared" si="13"/>
        <v>583646649710.16101</v>
      </c>
    </row>
    <row r="19" spans="1:44" x14ac:dyDescent="0.25">
      <c r="A19" s="168" t="s">
        <v>10</v>
      </c>
      <c r="B19" s="186" t="s">
        <v>144</v>
      </c>
      <c r="C19" t="s">
        <v>15</v>
      </c>
      <c r="D19" s="276">
        <v>25.08</v>
      </c>
      <c r="E19" s="260">
        <v>25.58</v>
      </c>
      <c r="F19" s="281">
        <v>25.33</v>
      </c>
      <c r="G19" s="260">
        <v>26.66</v>
      </c>
      <c r="H19" s="258">
        <v>26.67</v>
      </c>
      <c r="I19" s="281">
        <v>26.66</v>
      </c>
      <c r="J19" s="260">
        <v>27.63</v>
      </c>
      <c r="K19" s="255">
        <v>27.34</v>
      </c>
      <c r="L19" s="284">
        <v>27.49</v>
      </c>
      <c r="M19" s="258">
        <v>31.02</v>
      </c>
      <c r="N19" s="255">
        <v>31.04</v>
      </c>
      <c r="O19" s="284">
        <v>31.03</v>
      </c>
      <c r="P19" s="255">
        <v>26.13</v>
      </c>
      <c r="Q19" s="260">
        <v>26.19</v>
      </c>
      <c r="R19" s="287">
        <v>26.16</v>
      </c>
      <c r="S19" s="170">
        <v>28.57</v>
      </c>
      <c r="T19" s="171">
        <v>29.87</v>
      </c>
      <c r="U19" s="170">
        <v>28.22</v>
      </c>
      <c r="V19" s="171">
        <v>32.83</v>
      </c>
      <c r="W19" s="172">
        <v>30.25</v>
      </c>
      <c r="X19" s="253">
        <v>23.413044822899352</v>
      </c>
      <c r="Y19" s="90" t="e">
        <f>10^((#REF!-C$2)/D$2)</f>
        <v>#REF!</v>
      </c>
      <c r="Z19" s="90" t="e">
        <f>10^((#REF!-C$3)/D$3)</f>
        <v>#REF!</v>
      </c>
      <c r="AA19" s="90" t="e">
        <f>10^((#REF!-C$5)/D$5)</f>
        <v>#REF!</v>
      </c>
      <c r="AB19" s="90" t="e">
        <f>10^((#REF!-C$6)/D$6)</f>
        <v>#REF!</v>
      </c>
      <c r="AC19" s="90" t="e">
        <f>10^((#REF!-C$4)/D$4)</f>
        <v>#REF!</v>
      </c>
      <c r="AD19" s="90">
        <f t="shared" si="0"/>
        <v>0.54446473865683376</v>
      </c>
      <c r="AE19" s="90">
        <f t="shared" si="14"/>
        <v>1.7820927485449549</v>
      </c>
      <c r="AF19" s="90">
        <f t="shared" si="1"/>
        <v>0.32718884501138862</v>
      </c>
      <c r="AG19" s="90">
        <f t="shared" si="2"/>
        <v>7.7220934808242811E-2</v>
      </c>
      <c r="AH19" s="90">
        <f t="shared" si="3"/>
        <v>3.5100590818132882E-2</v>
      </c>
      <c r="AI19" s="72" t="e">
        <f t="shared" si="4"/>
        <v>#REF!</v>
      </c>
      <c r="AJ19" s="72" t="e">
        <f t="shared" si="5"/>
        <v>#REF!</v>
      </c>
      <c r="AK19" s="72" t="e">
        <f t="shared" si="6"/>
        <v>#REF!</v>
      </c>
      <c r="AL19" s="72" t="e">
        <f t="shared" si="7"/>
        <v>#REF!</v>
      </c>
      <c r="AM19" s="72" t="e">
        <f t="shared" si="8"/>
        <v>#REF!</v>
      </c>
      <c r="AN19" s="72">
        <f t="shared" si="9"/>
        <v>4599840987.9229136</v>
      </c>
      <c r="AO19" s="72">
        <f t="shared" si="10"/>
        <v>12318368378.945957</v>
      </c>
      <c r="AP19" s="72">
        <f t="shared" si="11"/>
        <v>2689504811.1637754</v>
      </c>
      <c r="AQ19" s="72">
        <f t="shared" si="12"/>
        <v>577526663.45658004</v>
      </c>
      <c r="AR19" s="72">
        <f t="shared" si="13"/>
        <v>333610729.01956469</v>
      </c>
    </row>
    <row r="20" spans="1:44" x14ac:dyDescent="0.25">
      <c r="A20" s="163" t="s">
        <v>10</v>
      </c>
      <c r="B20" s="184" t="s">
        <v>144</v>
      </c>
      <c r="C20" s="185" t="s">
        <v>145</v>
      </c>
      <c r="D20" s="272">
        <v>22.45</v>
      </c>
      <c r="E20" s="273">
        <v>22.21</v>
      </c>
      <c r="F20" s="280">
        <v>22.33</v>
      </c>
      <c r="G20" s="273">
        <v>25.79</v>
      </c>
      <c r="H20" s="275">
        <v>25.77</v>
      </c>
      <c r="I20" s="280">
        <v>25.78</v>
      </c>
      <c r="J20" s="273">
        <v>27.19</v>
      </c>
      <c r="K20" s="274">
        <v>26.78</v>
      </c>
      <c r="L20" s="283">
        <v>26.99</v>
      </c>
      <c r="M20" s="275">
        <v>24.9</v>
      </c>
      <c r="N20" s="274">
        <v>24.17</v>
      </c>
      <c r="O20" s="283">
        <v>24.54</v>
      </c>
      <c r="P20" s="274">
        <v>24.26</v>
      </c>
      <c r="Q20" s="273">
        <v>24</v>
      </c>
      <c r="R20" s="286">
        <v>24.13</v>
      </c>
      <c r="S20" s="165">
        <v>27.56</v>
      </c>
      <c r="T20" s="166">
        <v>22.13</v>
      </c>
      <c r="U20" s="165">
        <v>21.29</v>
      </c>
      <c r="V20" s="166">
        <v>26.18</v>
      </c>
      <c r="W20" s="167">
        <v>25.29</v>
      </c>
      <c r="X20" s="252">
        <v>33.792297688759405</v>
      </c>
      <c r="Y20" s="88" t="e">
        <f>10^((#REF!-C$2)/D$2)</f>
        <v>#REF!</v>
      </c>
      <c r="Z20" s="88" t="e">
        <f>10^((#REF!-C$3)/D$3)</f>
        <v>#REF!</v>
      </c>
      <c r="AA20" s="88" t="e">
        <f>10^((#REF!-C$5)/D$5)</f>
        <v>#REF!</v>
      </c>
      <c r="AB20" s="88" t="e">
        <f>10^((#REF!-C$6)/D$6)</f>
        <v>#REF!</v>
      </c>
      <c r="AC20" s="88" t="e">
        <f>10^((#REF!-C$4)/D$4)</f>
        <v>#REF!</v>
      </c>
      <c r="AD20" s="88">
        <f t="shared" si="0"/>
        <v>1.0706802331423582</v>
      </c>
      <c r="AE20" s="88">
        <f t="shared" si="14"/>
        <v>1.5570190974534797</v>
      </c>
      <c r="AF20" s="88">
        <f t="shared" si="1"/>
        <v>49.749464810309618</v>
      </c>
      <c r="AG20" s="88">
        <f t="shared" si="2"/>
        <v>5.6772728881277832</v>
      </c>
      <c r="AH20" s="88">
        <f t="shared" si="3"/>
        <v>1.1865635380770492</v>
      </c>
      <c r="AI20" s="70" t="e">
        <f t="shared" si="4"/>
        <v>#REF!</v>
      </c>
      <c r="AJ20" s="70" t="e">
        <f t="shared" si="5"/>
        <v>#REF!</v>
      </c>
      <c r="AK20" s="70" t="e">
        <f t="shared" si="6"/>
        <v>#REF!</v>
      </c>
      <c r="AL20" s="70" t="e">
        <f t="shared" si="7"/>
        <v>#REF!</v>
      </c>
      <c r="AM20" s="70" t="e">
        <f t="shared" si="8"/>
        <v>#REF!</v>
      </c>
      <c r="AN20" s="70">
        <f t="shared" si="9"/>
        <v>9045505561.1437702</v>
      </c>
      <c r="AO20" s="70">
        <f t="shared" si="10"/>
        <v>10762590685.106581</v>
      </c>
      <c r="AP20" s="70">
        <f t="shared" si="11"/>
        <v>408942502167.19153</v>
      </c>
      <c r="AQ20" s="70">
        <f t="shared" si="12"/>
        <v>42459683721.194122</v>
      </c>
      <c r="AR20" s="70">
        <f t="shared" si="13"/>
        <v>11277597263.731045</v>
      </c>
    </row>
    <row r="21" spans="1:44" x14ac:dyDescent="0.25">
      <c r="A21" s="168" t="s">
        <v>10</v>
      </c>
      <c r="B21" s="186" t="s">
        <v>144</v>
      </c>
      <c r="C21" t="s">
        <v>146</v>
      </c>
      <c r="D21" s="276">
        <v>15.46</v>
      </c>
      <c r="E21" s="260">
        <v>15.79</v>
      </c>
      <c r="F21" s="281">
        <v>15.63</v>
      </c>
      <c r="G21" s="260">
        <v>17.440000000000001</v>
      </c>
      <c r="H21" s="258">
        <v>17.190000000000001</v>
      </c>
      <c r="I21" s="281">
        <v>17.32</v>
      </c>
      <c r="J21" s="260">
        <v>18.7</v>
      </c>
      <c r="K21" s="255">
        <v>18.600000000000001</v>
      </c>
      <c r="L21" s="284">
        <v>18.649999999999999</v>
      </c>
      <c r="M21" s="258">
        <v>22</v>
      </c>
      <c r="N21" s="255">
        <v>22.03</v>
      </c>
      <c r="O21" s="284">
        <v>22.01</v>
      </c>
      <c r="P21" s="255">
        <v>20.03</v>
      </c>
      <c r="Q21" s="260">
        <v>19.899999999999999</v>
      </c>
      <c r="R21" s="287">
        <v>19.96</v>
      </c>
      <c r="S21" s="170">
        <v>21.6</v>
      </c>
      <c r="T21" s="171">
        <v>21.19</v>
      </c>
      <c r="U21" s="170">
        <v>21.14</v>
      </c>
      <c r="V21" s="171">
        <v>16.32</v>
      </c>
      <c r="W21" s="172">
        <v>21.24</v>
      </c>
      <c r="X21" s="253">
        <v>27.235090537898948</v>
      </c>
      <c r="Y21" s="89" t="e">
        <f>10^((#REF!-C$2)/D$2)</f>
        <v>#REF!</v>
      </c>
      <c r="Z21" s="89" t="e">
        <f>10^((#REF!-C$3)/D$3)</f>
        <v>#REF!</v>
      </c>
      <c r="AA21" s="89" t="e">
        <f>10^((#REF!-C$5)/D$5)</f>
        <v>#REF!</v>
      </c>
      <c r="AB21" s="89" t="e">
        <f>10^((#REF!-C$6)/D$6)</f>
        <v>#REF!</v>
      </c>
      <c r="AC21" s="89" t="e">
        <f>10^((#REF!-C$4)/D$4)</f>
        <v>#REF!</v>
      </c>
      <c r="AD21" s="89">
        <f t="shared" si="0"/>
        <v>57.905754056945163</v>
      </c>
      <c r="AE21" s="89">
        <f t="shared" si="14"/>
        <v>1.5316965257389901</v>
      </c>
      <c r="AF21" s="89">
        <f t="shared" si="1"/>
        <v>55.464823107318786</v>
      </c>
      <c r="AG21" s="89">
        <f t="shared" si="2"/>
        <v>3322.5434631473645</v>
      </c>
      <c r="AH21" s="89">
        <f t="shared" si="3"/>
        <v>21.025662636459966</v>
      </c>
      <c r="AI21" s="71" t="e">
        <f t="shared" si="4"/>
        <v>#REF!</v>
      </c>
      <c r="AJ21" s="71" t="e">
        <f t="shared" si="5"/>
        <v>#REF!</v>
      </c>
      <c r="AK21" s="71" t="e">
        <f t="shared" si="6"/>
        <v>#REF!</v>
      </c>
      <c r="AL21" s="71" t="e">
        <f t="shared" si="7"/>
        <v>#REF!</v>
      </c>
      <c r="AM21" s="71" t="e">
        <f t="shared" si="8"/>
        <v>#REF!</v>
      </c>
      <c r="AN21" s="71">
        <f t="shared" si="9"/>
        <v>489209386827.89526</v>
      </c>
      <c r="AO21" s="71">
        <f t="shared" si="10"/>
        <v>10587553349.403349</v>
      </c>
      <c r="AP21" s="71">
        <f t="shared" si="11"/>
        <v>455922965809.81946</v>
      </c>
      <c r="AQ21" s="71">
        <f t="shared" si="12"/>
        <v>24848927887572.563</v>
      </c>
      <c r="AR21" s="71">
        <f t="shared" si="13"/>
        <v>199836711484.78836</v>
      </c>
    </row>
    <row r="22" spans="1:44" x14ac:dyDescent="0.25">
      <c r="A22" s="173" t="s">
        <v>10</v>
      </c>
      <c r="B22" s="187" t="s">
        <v>144</v>
      </c>
      <c r="C22" s="188" t="s">
        <v>15</v>
      </c>
      <c r="D22" s="277">
        <v>25.21</v>
      </c>
      <c r="E22" s="257">
        <v>25.01</v>
      </c>
      <c r="F22" s="282">
        <v>25.11</v>
      </c>
      <c r="G22" s="257">
        <v>26.08</v>
      </c>
      <c r="H22" s="259">
        <v>26.05</v>
      </c>
      <c r="I22" s="282">
        <v>26.06</v>
      </c>
      <c r="J22" s="257">
        <v>27.46</v>
      </c>
      <c r="K22" s="256">
        <v>27.48</v>
      </c>
      <c r="L22" s="285">
        <v>27.47</v>
      </c>
      <c r="M22" s="259">
        <v>27.71</v>
      </c>
      <c r="N22" s="256">
        <v>27.7</v>
      </c>
      <c r="O22" s="285">
        <v>27.71</v>
      </c>
      <c r="P22" s="256">
        <v>23.39</v>
      </c>
      <c r="Q22" s="257">
        <v>23.54</v>
      </c>
      <c r="R22" s="288">
        <v>23.47</v>
      </c>
      <c r="S22" s="175">
        <v>27.05</v>
      </c>
      <c r="T22" s="176">
        <v>25.09</v>
      </c>
      <c r="U22" s="175">
        <v>25.05</v>
      </c>
      <c r="V22" s="176">
        <v>22.54</v>
      </c>
      <c r="W22" s="177">
        <v>28.26</v>
      </c>
      <c r="X22" s="254">
        <v>30.115857977008702</v>
      </c>
      <c r="Y22" s="90" t="e">
        <f>10^((#REF!-C$2)/D$2)</f>
        <v>#REF!</v>
      </c>
      <c r="Z22" s="90" t="e">
        <f>10^((#REF!-C$3)/D$3)</f>
        <v>#REF!</v>
      </c>
      <c r="AA22" s="90" t="e">
        <f>10^((#REF!-C$5)/D$5)</f>
        <v>#REF!</v>
      </c>
      <c r="AB22" s="90" t="e">
        <f>10^((#REF!-C$6)/D$6)</f>
        <v>#REF!</v>
      </c>
      <c r="AC22" s="90" t="e">
        <f>10^((#REF!-C$4)/D$4)</f>
        <v>#REF!</v>
      </c>
      <c r="AD22" s="90">
        <f t="shared" si="0"/>
        <v>1.5064638305074964</v>
      </c>
      <c r="AE22" s="90">
        <f t="shared" si="14"/>
        <v>1.639525522863682</v>
      </c>
      <c r="AF22" s="90">
        <f t="shared" si="1"/>
        <v>3.2576867384153165</v>
      </c>
      <c r="AG22" s="90">
        <f t="shared" si="2"/>
        <v>59.66927647788193</v>
      </c>
      <c r="AH22" s="90">
        <f t="shared" si="3"/>
        <v>0.14413007874943137</v>
      </c>
      <c r="AI22" s="72" t="e">
        <f t="shared" si="4"/>
        <v>#REF!</v>
      </c>
      <c r="AJ22" s="72" t="e">
        <f t="shared" si="5"/>
        <v>#REF!</v>
      </c>
      <c r="AK22" s="72" t="e">
        <f t="shared" si="6"/>
        <v>#REF!</v>
      </c>
      <c r="AL22" s="72" t="e">
        <f t="shared" si="7"/>
        <v>#REF!</v>
      </c>
      <c r="AM22" s="72" t="e">
        <f t="shared" si="8"/>
        <v>#REF!</v>
      </c>
      <c r="AN22" s="72">
        <f t="shared" si="9"/>
        <v>12727167771.206709</v>
      </c>
      <c r="AO22" s="72">
        <f t="shared" si="10"/>
        <v>11332900251.015947</v>
      </c>
      <c r="AP22" s="72">
        <f t="shared" si="11"/>
        <v>26778309498.685551</v>
      </c>
      <c r="AQ22" s="72">
        <f t="shared" si="12"/>
        <v>446259790051.9187</v>
      </c>
      <c r="AR22" s="72">
        <f t="shared" si="13"/>
        <v>1369872686.5989201</v>
      </c>
    </row>
    <row r="23" spans="1:44" hidden="1" x14ac:dyDescent="0.25">
      <c r="A23" s="168" t="s">
        <v>10</v>
      </c>
      <c r="B23" s="189" t="s">
        <v>147</v>
      </c>
      <c r="C23" t="s">
        <v>145</v>
      </c>
      <c r="D23" s="276">
        <v>20.58</v>
      </c>
      <c r="E23" s="260">
        <v>20.57</v>
      </c>
      <c r="F23" s="281">
        <v>20.57</v>
      </c>
      <c r="G23" s="260">
        <v>20.3</v>
      </c>
      <c r="H23" s="258">
        <v>20.37</v>
      </c>
      <c r="I23" s="281">
        <v>20.329999999999998</v>
      </c>
      <c r="J23" s="260">
        <v>19.559999999999999</v>
      </c>
      <c r="K23" s="255">
        <v>19.52</v>
      </c>
      <c r="L23" s="284">
        <v>19.54</v>
      </c>
      <c r="M23" s="258">
        <v>22.24</v>
      </c>
      <c r="N23" s="255">
        <v>22.24</v>
      </c>
      <c r="O23" s="284">
        <v>22.24</v>
      </c>
      <c r="P23" s="255">
        <v>18.190000000000001</v>
      </c>
      <c r="Q23" s="260">
        <v>18.260000000000002</v>
      </c>
      <c r="R23" s="287">
        <v>18.22</v>
      </c>
      <c r="S23" s="170">
        <v>20.38</v>
      </c>
      <c r="T23" s="171">
        <v>21.6</v>
      </c>
      <c r="U23" s="170">
        <v>21.03</v>
      </c>
      <c r="V23" s="171">
        <v>23.65</v>
      </c>
      <c r="W23" s="172">
        <v>22.84</v>
      </c>
      <c r="X23" s="253">
        <v>26.29111667251345</v>
      </c>
      <c r="Y23" s="88" t="e">
        <f>10^((#REF!-C$2)/D$2)</f>
        <v>#REF!</v>
      </c>
      <c r="Z23" s="88" t="e">
        <f>10^((#REF!-C$3)/D$3)</f>
        <v>#REF!</v>
      </c>
      <c r="AA23" s="88" t="e">
        <f>10^((#REF!-C$5)/D$5)</f>
        <v>#REF!</v>
      </c>
      <c r="AB23" s="88" t="e">
        <f>10^((#REF!-C$6)/D$6)</f>
        <v>#REF!</v>
      </c>
      <c r="AC23" s="88" t="e">
        <f>10^((#REF!-C$4)/D$4)</f>
        <v>#REF!</v>
      </c>
      <c r="AD23" s="88">
        <f t="shared" si="0"/>
        <v>131.06176445498207</v>
      </c>
      <c r="AE23" s="88">
        <f t="shared" si="14"/>
        <v>1.5426904387775631</v>
      </c>
      <c r="AF23" s="88">
        <f t="shared" si="1"/>
        <v>60.069275365310602</v>
      </c>
      <c r="AG23" s="88">
        <f t="shared" si="2"/>
        <v>29.121621214540472</v>
      </c>
      <c r="AH23" s="88">
        <f t="shared" si="3"/>
        <v>6.7535394745110038</v>
      </c>
      <c r="AI23" s="70" t="e">
        <f t="shared" si="4"/>
        <v>#REF!</v>
      </c>
      <c r="AJ23" s="70" t="e">
        <f t="shared" si="5"/>
        <v>#REF!</v>
      </c>
      <c r="AK23" s="70" t="e">
        <f t="shared" si="6"/>
        <v>#REF!</v>
      </c>
      <c r="AL23" s="70" t="e">
        <f t="shared" si="7"/>
        <v>#REF!</v>
      </c>
      <c r="AM23" s="70" t="e">
        <f t="shared" si="8"/>
        <v>#REF!</v>
      </c>
      <c r="AN23" s="70">
        <f t="shared" si="9"/>
        <v>1107258621700.1992</v>
      </c>
      <c r="AO23" s="70">
        <f t="shared" si="10"/>
        <v>10663546628.005608</v>
      </c>
      <c r="AP23" s="70">
        <f t="shared" si="11"/>
        <v>493771739352.85339</v>
      </c>
      <c r="AQ23" s="70">
        <f t="shared" si="12"/>
        <v>217797321105.26913</v>
      </c>
      <c r="AR23" s="70">
        <f t="shared" si="13"/>
        <v>64188470194.926231</v>
      </c>
    </row>
    <row r="24" spans="1:44" hidden="1" x14ac:dyDescent="0.25">
      <c r="A24" s="168" t="s">
        <v>10</v>
      </c>
      <c r="B24" s="189" t="s">
        <v>147</v>
      </c>
      <c r="C24" t="s">
        <v>146</v>
      </c>
      <c r="D24" s="276">
        <v>14.94</v>
      </c>
      <c r="E24" s="260">
        <v>15.31</v>
      </c>
      <c r="F24" s="281">
        <v>15.12</v>
      </c>
      <c r="G24" s="260">
        <v>14.79</v>
      </c>
      <c r="H24" s="258">
        <v>14.85</v>
      </c>
      <c r="I24" s="281">
        <v>14.82</v>
      </c>
      <c r="J24" s="260">
        <v>16.14</v>
      </c>
      <c r="K24" s="255">
        <v>16.510000000000002</v>
      </c>
      <c r="L24" s="284">
        <v>16.329999999999998</v>
      </c>
      <c r="M24" s="258">
        <v>20.190000000000001</v>
      </c>
      <c r="N24" s="255">
        <v>20.260000000000002</v>
      </c>
      <c r="O24" s="284">
        <v>20.23</v>
      </c>
      <c r="P24" s="255">
        <v>18.010000000000002</v>
      </c>
      <c r="Q24" s="260">
        <v>18.13</v>
      </c>
      <c r="R24" s="287">
        <v>18.07</v>
      </c>
      <c r="S24" s="170">
        <v>19.98</v>
      </c>
      <c r="T24" s="171">
        <v>20.36</v>
      </c>
      <c r="U24" s="170">
        <v>19.57</v>
      </c>
      <c r="V24" s="171">
        <v>20.72</v>
      </c>
      <c r="W24" s="172">
        <v>18.899999999999999</v>
      </c>
      <c r="X24" s="253">
        <v>22.396411549589999</v>
      </c>
      <c r="Y24" s="89" t="e">
        <f>10^((#REF!-C$2)/D$2)</f>
        <v>#REF!</v>
      </c>
      <c r="Z24" s="89" t="e">
        <f>10^((#REF!-C$3)/D$3)</f>
        <v>#REF!</v>
      </c>
      <c r="AA24" s="89" t="e">
        <f>10^((#REF!-C$5)/D$5)</f>
        <v>#REF!</v>
      </c>
      <c r="AB24" s="89" t="e">
        <f>10^((#REF!-C$6)/D$6)</f>
        <v>#REF!</v>
      </c>
      <c r="AC24" s="89" t="e">
        <f>10^((#REF!-C$4)/D$4)</f>
        <v>#REF!</v>
      </c>
      <c r="AD24" s="89">
        <f t="shared" si="0"/>
        <v>171.31243658487566</v>
      </c>
      <c r="AE24" s="89">
        <f t="shared" si="14"/>
        <v>1.5096798152831261</v>
      </c>
      <c r="AF24" s="89">
        <f t="shared" si="1"/>
        <v>173.12114904336062</v>
      </c>
      <c r="AG24" s="89">
        <f t="shared" si="2"/>
        <v>193.44444940012892</v>
      </c>
      <c r="AH24" s="89">
        <f t="shared" si="3"/>
        <v>110.68311699900968</v>
      </c>
      <c r="AI24" s="71" t="e">
        <f t="shared" si="4"/>
        <v>#REF!</v>
      </c>
      <c r="AJ24" s="71" t="e">
        <f t="shared" si="5"/>
        <v>#REF!</v>
      </c>
      <c r="AK24" s="71" t="e">
        <f t="shared" si="6"/>
        <v>#REF!</v>
      </c>
      <c r="AL24" s="71" t="e">
        <f t="shared" si="7"/>
        <v>#REF!</v>
      </c>
      <c r="AM24" s="71" t="e">
        <f t="shared" si="8"/>
        <v>#REF!</v>
      </c>
      <c r="AN24" s="71">
        <f t="shared" si="9"/>
        <v>1447311297859.3169</v>
      </c>
      <c r="AO24" s="71">
        <f t="shared" si="10"/>
        <v>10435367134.567245</v>
      </c>
      <c r="AP24" s="71">
        <f t="shared" si="11"/>
        <v>1423062461833.3574</v>
      </c>
      <c r="AQ24" s="71">
        <f t="shared" si="12"/>
        <v>1446749222910.5515</v>
      </c>
      <c r="AR24" s="71">
        <f t="shared" si="13"/>
        <v>1051978741426.8248</v>
      </c>
    </row>
    <row r="25" spans="1:44" hidden="1" x14ac:dyDescent="0.25">
      <c r="A25" s="168" t="s">
        <v>10</v>
      </c>
      <c r="B25" s="189" t="s">
        <v>147</v>
      </c>
      <c r="C25" t="s">
        <v>15</v>
      </c>
      <c r="D25" s="276">
        <v>20.82</v>
      </c>
      <c r="E25" s="260">
        <v>21.33</v>
      </c>
      <c r="F25" s="281">
        <v>21.07</v>
      </c>
      <c r="G25" s="260">
        <v>21.49</v>
      </c>
      <c r="H25" s="258">
        <v>21.57</v>
      </c>
      <c r="I25" s="281">
        <v>21.53</v>
      </c>
      <c r="J25" s="260">
        <v>22.96</v>
      </c>
      <c r="K25" s="255">
        <v>22.72</v>
      </c>
      <c r="L25" s="284">
        <v>22.84</v>
      </c>
      <c r="M25" s="258">
        <v>26.37</v>
      </c>
      <c r="N25" s="255">
        <v>26.17</v>
      </c>
      <c r="O25" s="284">
        <v>26.27</v>
      </c>
      <c r="P25" s="255">
        <v>20.350000000000001</v>
      </c>
      <c r="Q25" s="260">
        <v>20.350000000000001</v>
      </c>
      <c r="R25" s="287">
        <v>20.350000000000001</v>
      </c>
      <c r="S25" s="170">
        <v>24.52</v>
      </c>
      <c r="T25" s="171">
        <v>24.21</v>
      </c>
      <c r="U25" s="170">
        <v>23.66</v>
      </c>
      <c r="V25" s="171">
        <v>26.77</v>
      </c>
      <c r="W25" s="172">
        <v>25.68</v>
      </c>
      <c r="X25" s="253">
        <v>22.532651681377949</v>
      </c>
      <c r="Y25" s="90" t="e">
        <f>10^((#REF!-C$2)/D$2)</f>
        <v>#REF!</v>
      </c>
      <c r="Z25" s="90" t="e">
        <f>10^((#REF!-C$3)/D$3)</f>
        <v>#REF!</v>
      </c>
      <c r="AA25" s="90" t="e">
        <f>10^((#REF!-C$5)/D$5)</f>
        <v>#REF!</v>
      </c>
      <c r="AB25" s="90" t="e">
        <f>10^((#REF!-C$6)/D$6)</f>
        <v>#REF!</v>
      </c>
      <c r="AC25" s="90" t="e">
        <f>10^((#REF!-C$4)/D$4)</f>
        <v>#REF!</v>
      </c>
      <c r="AD25" s="90">
        <f t="shared" si="0"/>
        <v>8.1966744303806411</v>
      </c>
      <c r="AE25" s="90">
        <f t="shared" si="14"/>
        <v>1.6145500601996245</v>
      </c>
      <c r="AF25" s="90">
        <f t="shared" si="1"/>
        <v>8.9241477230994253</v>
      </c>
      <c r="AG25" s="90">
        <f t="shared" si="2"/>
        <v>3.8774747250031889</v>
      </c>
      <c r="AH25" s="90">
        <f t="shared" si="3"/>
        <v>0.89964060831855341</v>
      </c>
      <c r="AI25" s="72" t="e">
        <f t="shared" si="4"/>
        <v>#REF!</v>
      </c>
      <c r="AJ25" s="72" t="e">
        <f t="shared" si="5"/>
        <v>#REF!</v>
      </c>
      <c r="AK25" s="72" t="e">
        <f t="shared" si="6"/>
        <v>#REF!</v>
      </c>
      <c r="AL25" s="72" t="e">
        <f t="shared" si="7"/>
        <v>#REF!</v>
      </c>
      <c r="AM25" s="72" t="e">
        <f t="shared" si="8"/>
        <v>#REF!</v>
      </c>
      <c r="AN25" s="72">
        <f t="shared" si="9"/>
        <v>69248559792.020508</v>
      </c>
      <c r="AO25" s="72">
        <f t="shared" si="10"/>
        <v>11160262238.891342</v>
      </c>
      <c r="AP25" s="72">
        <f t="shared" si="11"/>
        <v>73356835365.144333</v>
      </c>
      <c r="AQ25" s="72">
        <f t="shared" si="12"/>
        <v>28999196217.050678</v>
      </c>
      <c r="AR25" s="72">
        <f t="shared" si="13"/>
        <v>8550561463.5327158</v>
      </c>
    </row>
    <row r="26" spans="1:44" hidden="1" x14ac:dyDescent="0.25">
      <c r="A26" s="163" t="s">
        <v>10</v>
      </c>
      <c r="B26" s="190" t="s">
        <v>147</v>
      </c>
      <c r="C26" s="185" t="s">
        <v>145</v>
      </c>
      <c r="D26" s="272">
        <v>20.21</v>
      </c>
      <c r="E26" s="273">
        <v>19.850000000000001</v>
      </c>
      <c r="F26" s="280">
        <v>20.03</v>
      </c>
      <c r="G26" s="273">
        <v>21.21</v>
      </c>
      <c r="H26" s="275">
        <v>21.3</v>
      </c>
      <c r="I26" s="280">
        <v>21.25</v>
      </c>
      <c r="J26" s="273">
        <v>20</v>
      </c>
      <c r="K26" s="274">
        <v>20.05</v>
      </c>
      <c r="L26" s="283">
        <v>20.02</v>
      </c>
      <c r="M26" s="275">
        <v>23.01</v>
      </c>
      <c r="N26" s="274">
        <v>23.66</v>
      </c>
      <c r="O26" s="283">
        <v>23.34</v>
      </c>
      <c r="P26" s="274">
        <v>19.760000000000002</v>
      </c>
      <c r="Q26" s="273">
        <v>19.93</v>
      </c>
      <c r="R26" s="286">
        <v>19.850000000000001</v>
      </c>
      <c r="S26" s="165">
        <v>22.14</v>
      </c>
      <c r="T26" s="166">
        <v>21.42</v>
      </c>
      <c r="U26" s="165">
        <v>21.86</v>
      </c>
      <c r="V26" s="166">
        <v>26.1</v>
      </c>
      <c r="W26" s="167">
        <v>24.44</v>
      </c>
      <c r="X26" s="252">
        <v>30.000533965084749</v>
      </c>
      <c r="Y26" s="88" t="e">
        <f>10^((#REF!-C$2)/D$2)</f>
        <v>#REF!</v>
      </c>
      <c r="Z26" s="88" t="e">
        <f>10^((#REF!-C$3)/D$3)</f>
        <v>#REF!</v>
      </c>
      <c r="AA26" s="88" t="e">
        <f>10^((#REF!-C$5)/D$5)</f>
        <v>#REF!</v>
      </c>
      <c r="AB26" s="88" t="e">
        <f>10^((#REF!-C$6)/D$6)</f>
        <v>#REF!</v>
      </c>
      <c r="AC26" s="88" t="e">
        <f>10^((#REF!-C$4)/D$4)</f>
        <v>#REF!</v>
      </c>
      <c r="AD26" s="88">
        <f t="shared" si="0"/>
        <v>40.336603971915167</v>
      </c>
      <c r="AE26" s="88">
        <f t="shared" si="14"/>
        <v>1.5378541590673154</v>
      </c>
      <c r="AF26" s="88">
        <f t="shared" si="1"/>
        <v>32.9092041926897</v>
      </c>
      <c r="AG26" s="88">
        <f t="shared" si="2"/>
        <v>5.9785072317065362</v>
      </c>
      <c r="AH26" s="88">
        <f t="shared" si="3"/>
        <v>2.169267919037515</v>
      </c>
      <c r="AI26" s="70" t="e">
        <f t="shared" si="4"/>
        <v>#REF!</v>
      </c>
      <c r="AJ26" s="70" t="e">
        <f t="shared" si="5"/>
        <v>#REF!</v>
      </c>
      <c r="AK26" s="70" t="e">
        <f t="shared" si="6"/>
        <v>#REF!</v>
      </c>
      <c r="AL26" s="70" t="e">
        <f t="shared" si="7"/>
        <v>#REF!</v>
      </c>
      <c r="AM26" s="70" t="e">
        <f t="shared" si="8"/>
        <v>#REF!</v>
      </c>
      <c r="AN26" s="70">
        <f t="shared" si="9"/>
        <v>340778660380.01282</v>
      </c>
      <c r="AO26" s="70">
        <f t="shared" si="10"/>
        <v>10630116788.227011</v>
      </c>
      <c r="AP26" s="70">
        <f t="shared" si="11"/>
        <v>270514916254.95135</v>
      </c>
      <c r="AQ26" s="70">
        <f t="shared" si="12"/>
        <v>44712581407.522057</v>
      </c>
      <c r="AR26" s="70">
        <f t="shared" si="13"/>
        <v>20617631642.114765</v>
      </c>
    </row>
    <row r="27" spans="1:44" hidden="1" x14ac:dyDescent="0.25">
      <c r="A27" s="168" t="s">
        <v>10</v>
      </c>
      <c r="B27" s="189" t="s">
        <v>147</v>
      </c>
      <c r="C27" t="s">
        <v>146</v>
      </c>
      <c r="D27" s="276">
        <v>16.07</v>
      </c>
      <c r="E27" s="260">
        <v>16.66</v>
      </c>
      <c r="F27" s="281">
        <v>16.37</v>
      </c>
      <c r="G27" s="260">
        <v>16.399999999999999</v>
      </c>
      <c r="H27" s="258">
        <v>16.34</v>
      </c>
      <c r="I27" s="281">
        <v>16.37</v>
      </c>
      <c r="J27" s="260">
        <v>17.010000000000002</v>
      </c>
      <c r="K27" s="255">
        <v>16.87</v>
      </c>
      <c r="L27" s="284">
        <v>16.940000000000001</v>
      </c>
      <c r="M27" s="258">
        <v>22.63</v>
      </c>
      <c r="N27" s="255">
        <v>22.58</v>
      </c>
      <c r="O27" s="284">
        <v>22.6</v>
      </c>
      <c r="P27" s="255">
        <v>20.170000000000002</v>
      </c>
      <c r="Q27" s="260">
        <v>20.11</v>
      </c>
      <c r="R27" s="287">
        <v>20.14</v>
      </c>
      <c r="S27" s="170">
        <v>22.18</v>
      </c>
      <c r="T27" s="171">
        <v>21.09</v>
      </c>
      <c r="U27" s="170">
        <v>20.94</v>
      </c>
      <c r="V27" s="171">
        <v>22.21</v>
      </c>
      <c r="W27" s="172">
        <v>20.94</v>
      </c>
      <c r="X27" s="253">
        <v>24.108824732497851</v>
      </c>
      <c r="Y27" s="89" t="e">
        <f>10^((#REF!-C$2)/D$2)</f>
        <v>#REF!</v>
      </c>
      <c r="Z27" s="89" t="e">
        <f>10^((#REF!-C$3)/D$3)</f>
        <v>#REF!</v>
      </c>
      <c r="AA27" s="89" t="e">
        <f>10^((#REF!-C$5)/D$5)</f>
        <v>#REF!</v>
      </c>
      <c r="AB27" s="89" t="e">
        <f>10^((#REF!-C$6)/D$6)</f>
        <v>#REF!</v>
      </c>
      <c r="AC27" s="89" t="e">
        <f>10^((#REF!-C$4)/D$4)</f>
        <v>#REF!</v>
      </c>
      <c r="AD27" s="89">
        <f t="shared" si="0"/>
        <v>39.270645781705504</v>
      </c>
      <c r="AE27" s="89">
        <f t="shared" si="14"/>
        <v>1.5290269899231308</v>
      </c>
      <c r="AF27" s="89">
        <f t="shared" si="1"/>
        <v>64.119470079184964</v>
      </c>
      <c r="AG27" s="89">
        <f t="shared" si="2"/>
        <v>73.853205778793424</v>
      </c>
      <c r="AH27" s="89">
        <f t="shared" si="3"/>
        <v>26.015256572933609</v>
      </c>
      <c r="AI27" s="71" t="e">
        <f t="shared" si="4"/>
        <v>#REF!</v>
      </c>
      <c r="AJ27" s="71" t="e">
        <f t="shared" si="5"/>
        <v>#REF!</v>
      </c>
      <c r="AK27" s="71" t="e">
        <f t="shared" si="6"/>
        <v>#REF!</v>
      </c>
      <c r="AL27" s="71" t="e">
        <f t="shared" si="7"/>
        <v>#REF!</v>
      </c>
      <c r="AM27" s="71" t="e">
        <f t="shared" si="8"/>
        <v>#REF!</v>
      </c>
      <c r="AN27" s="71">
        <f t="shared" si="9"/>
        <v>331773048397.0686</v>
      </c>
      <c r="AO27" s="71">
        <f t="shared" si="10"/>
        <v>10569100703.991154</v>
      </c>
      <c r="AP27" s="71">
        <f t="shared" si="11"/>
        <v>527064494699.49744</v>
      </c>
      <c r="AQ27" s="71">
        <f t="shared" si="12"/>
        <v>552339797814.07605</v>
      </c>
      <c r="AR27" s="71">
        <f t="shared" si="13"/>
        <v>247259903854.4921</v>
      </c>
    </row>
    <row r="28" spans="1:44" hidden="1" x14ac:dyDescent="0.25">
      <c r="A28" s="173" t="s">
        <v>10</v>
      </c>
      <c r="B28" s="191" t="s">
        <v>147</v>
      </c>
      <c r="C28" s="188" t="s">
        <v>15</v>
      </c>
      <c r="D28" s="277">
        <v>28.15</v>
      </c>
      <c r="E28" s="257">
        <v>27.43</v>
      </c>
      <c r="F28" s="282">
        <v>27.79</v>
      </c>
      <c r="G28" s="257">
        <v>28.05</v>
      </c>
      <c r="H28" s="259">
        <v>28.23</v>
      </c>
      <c r="I28" s="282">
        <v>28.14</v>
      </c>
      <c r="J28" s="257">
        <v>28.43</v>
      </c>
      <c r="K28" s="256">
        <v>28.71</v>
      </c>
      <c r="L28" s="285">
        <v>28.57</v>
      </c>
      <c r="M28" s="259">
        <v>33.75</v>
      </c>
      <c r="N28" s="256">
        <v>32.799999999999997</v>
      </c>
      <c r="O28" s="285">
        <v>33.28</v>
      </c>
      <c r="P28" s="256">
        <v>27.32</v>
      </c>
      <c r="Q28" s="257">
        <v>27.66</v>
      </c>
      <c r="R28" s="288">
        <v>27.49</v>
      </c>
      <c r="S28" s="175">
        <v>30.74</v>
      </c>
      <c r="T28" s="176">
        <v>29.66</v>
      </c>
      <c r="U28" s="175">
        <v>30.39</v>
      </c>
      <c r="V28" s="176">
        <v>28.34</v>
      </c>
      <c r="W28" s="177">
        <v>30.32</v>
      </c>
      <c r="X28" s="254">
        <v>26.71871510827825</v>
      </c>
      <c r="Y28" s="90" t="e">
        <f>10^((#REF!-C$2)/D$2)</f>
        <v>#REF!</v>
      </c>
      <c r="Z28" s="90" t="e">
        <f>10^((#REF!-C$3)/D$3)</f>
        <v>#REF!</v>
      </c>
      <c r="AA28" s="90" t="e">
        <f>10^((#REF!-C$5)/D$5)</f>
        <v>#REF!</v>
      </c>
      <c r="AB28" s="90" t="e">
        <f>10^((#REF!-C$6)/D$6)</f>
        <v>#REF!</v>
      </c>
      <c r="AC28" s="90" t="e">
        <f>10^((#REF!-C$4)/D$4)</f>
        <v>#REF!</v>
      </c>
      <c r="AD28" s="90">
        <f t="shared" si="0"/>
        <v>0.12734220794710052</v>
      </c>
      <c r="AE28" s="90">
        <f t="shared" si="14"/>
        <v>1.7755765224675906</v>
      </c>
      <c r="AF28" s="90">
        <f t="shared" si="1"/>
        <v>6.784988538825043E-2</v>
      </c>
      <c r="AG28" s="90">
        <f t="shared" si="2"/>
        <v>1.4057531501564275</v>
      </c>
      <c r="AH28" s="90">
        <f t="shared" si="3"/>
        <v>3.3399204907491778E-2</v>
      </c>
      <c r="AI28" s="72" t="e">
        <f t="shared" si="4"/>
        <v>#REF!</v>
      </c>
      <c r="AJ28" s="72" t="e">
        <f t="shared" si="5"/>
        <v>#REF!</v>
      </c>
      <c r="AK28" s="72" t="e">
        <f t="shared" si="6"/>
        <v>#REF!</v>
      </c>
      <c r="AL28" s="72" t="e">
        <f t="shared" si="7"/>
        <v>#REF!</v>
      </c>
      <c r="AM28" s="72" t="e">
        <f t="shared" si="8"/>
        <v>#REF!</v>
      </c>
      <c r="AN28" s="72">
        <f t="shared" si="9"/>
        <v>1075834422.3589218</v>
      </c>
      <c r="AO28" s="72">
        <f t="shared" si="10"/>
        <v>12273326237.717896</v>
      </c>
      <c r="AP28" s="72">
        <f t="shared" si="11"/>
        <v>557728651.11663127</v>
      </c>
      <c r="AQ28" s="72">
        <f t="shared" si="12"/>
        <v>10513469287.434185</v>
      </c>
      <c r="AR28" s="72">
        <f t="shared" si="13"/>
        <v>317440044.11760646</v>
      </c>
    </row>
    <row r="29" spans="1:44" hidden="1" x14ac:dyDescent="0.25">
      <c r="A29" s="168" t="s">
        <v>10</v>
      </c>
      <c r="B29" s="189" t="s">
        <v>147</v>
      </c>
      <c r="C29" t="s">
        <v>145</v>
      </c>
      <c r="D29" s="276">
        <v>30.66</v>
      </c>
      <c r="E29" s="260">
        <v>30.32</v>
      </c>
      <c r="F29" s="281">
        <v>30.49</v>
      </c>
      <c r="G29" s="260">
        <v>31.39</v>
      </c>
      <c r="H29" s="258">
        <v>32.29</v>
      </c>
      <c r="I29" s="281">
        <v>31.84</v>
      </c>
      <c r="J29" s="260">
        <v>32.24</v>
      </c>
      <c r="K29" s="255">
        <v>31.81</v>
      </c>
      <c r="L29" s="284">
        <v>32.03</v>
      </c>
      <c r="M29" s="258">
        <v>29.7</v>
      </c>
      <c r="N29" s="255">
        <v>30</v>
      </c>
      <c r="O29" s="284">
        <v>29.85</v>
      </c>
      <c r="P29" s="255">
        <v>30.83</v>
      </c>
      <c r="Q29" s="260">
        <v>31.34</v>
      </c>
      <c r="R29" s="287">
        <v>31.09</v>
      </c>
      <c r="S29" s="170">
        <v>33.01</v>
      </c>
      <c r="T29" s="171">
        <v>23.3</v>
      </c>
      <c r="U29" s="170">
        <v>29.31</v>
      </c>
      <c r="V29" s="171">
        <v>38.78</v>
      </c>
      <c r="W29" s="172">
        <v>31.47</v>
      </c>
      <c r="X29" s="253">
        <v>33.97589959479015</v>
      </c>
      <c r="Y29" s="88" t="e">
        <f>10^((#REF!-C$2)/D$2)</f>
        <v>#REF!</v>
      </c>
      <c r="Z29" s="88" t="e">
        <f>10^((#REF!-C$3)/D$3)</f>
        <v>#REF!</v>
      </c>
      <c r="AA29" s="88" t="e">
        <f>10^((#REF!-C$5)/D$5)</f>
        <v>#REF!</v>
      </c>
      <c r="AB29" s="88" t="e">
        <f>10^((#REF!-C$6)/D$6)</f>
        <v>#REF!</v>
      </c>
      <c r="AC29" s="88" t="e">
        <f>10^((#REF!-C$4)/D$4)</f>
        <v>#REF!</v>
      </c>
      <c r="AD29" s="88">
        <f t="shared" si="0"/>
        <v>2.7854590127297407E-2</v>
      </c>
      <c r="AE29" s="88">
        <f t="shared" si="14"/>
        <v>1.5891232281171812</v>
      </c>
      <c r="AF29" s="88">
        <f t="shared" si="1"/>
        <v>0.14845659529659166</v>
      </c>
      <c r="AG29" s="88">
        <f t="shared" si="2"/>
        <v>1.6511783813447755E-3</v>
      </c>
      <c r="AH29" s="88">
        <f t="shared" si="3"/>
        <v>1.4765070049399557E-2</v>
      </c>
      <c r="AI29" s="70" t="e">
        <f t="shared" si="4"/>
        <v>#REF!</v>
      </c>
      <c r="AJ29" s="70" t="e">
        <f t="shared" si="5"/>
        <v>#REF!</v>
      </c>
      <c r="AK29" s="70" t="e">
        <f t="shared" si="6"/>
        <v>#REF!</v>
      </c>
      <c r="AL29" s="70" t="e">
        <f t="shared" si="7"/>
        <v>#REF!</v>
      </c>
      <c r="AM29" s="70" t="e">
        <f t="shared" si="8"/>
        <v>#REF!</v>
      </c>
      <c r="AN29" s="70">
        <f t="shared" si="9"/>
        <v>235325956.43460292</v>
      </c>
      <c r="AO29" s="70">
        <f t="shared" si="10"/>
        <v>10984504223.739285</v>
      </c>
      <c r="AP29" s="70">
        <f t="shared" si="11"/>
        <v>1220318887.3547294</v>
      </c>
      <c r="AQ29" s="70">
        <f t="shared" si="12"/>
        <v>12348976.915621258</v>
      </c>
      <c r="AR29" s="70">
        <f t="shared" si="13"/>
        <v>140333415.14754438</v>
      </c>
    </row>
    <row r="30" spans="1:44" hidden="1" x14ac:dyDescent="0.25">
      <c r="A30" s="168" t="s">
        <v>10</v>
      </c>
      <c r="B30" s="189" t="s">
        <v>147</v>
      </c>
      <c r="C30" t="s">
        <v>146</v>
      </c>
      <c r="D30" s="276">
        <v>22.12</v>
      </c>
      <c r="E30" s="260">
        <v>22.01</v>
      </c>
      <c r="F30" s="281">
        <v>22.06</v>
      </c>
      <c r="G30" s="260">
        <v>23.93</v>
      </c>
      <c r="H30" s="258">
        <v>24.35</v>
      </c>
      <c r="I30" s="281">
        <v>24.14</v>
      </c>
      <c r="J30" s="260">
        <v>26.81</v>
      </c>
      <c r="K30" s="255">
        <v>26.79</v>
      </c>
      <c r="L30" s="284">
        <v>26.8</v>
      </c>
      <c r="M30" s="258">
        <v>23.01</v>
      </c>
      <c r="N30" s="255">
        <v>23.34</v>
      </c>
      <c r="O30" s="284">
        <v>23.17</v>
      </c>
      <c r="P30" s="255">
        <v>27.15</v>
      </c>
      <c r="Q30" s="260">
        <v>26.9</v>
      </c>
      <c r="R30" s="287">
        <v>27.03</v>
      </c>
      <c r="S30" s="170">
        <v>30.9</v>
      </c>
      <c r="T30" s="171">
        <v>21.01</v>
      </c>
      <c r="U30" s="170">
        <v>22.27</v>
      </c>
      <c r="V30" s="171">
        <v>26</v>
      </c>
      <c r="W30" s="172">
        <v>25.44</v>
      </c>
      <c r="X30" s="253">
        <v>32.229180965683497</v>
      </c>
      <c r="Y30" s="89" t="e">
        <f>10^((#REF!-C$2)/D$2)</f>
        <v>#REF!</v>
      </c>
      <c r="Z30" s="89" t="e">
        <f>10^((#REF!-C$3)/D$3)</f>
        <v>#REF!</v>
      </c>
      <c r="AA30" s="89" t="e">
        <f>10^((#REF!-C$5)/D$5)</f>
        <v>#REF!</v>
      </c>
      <c r="AB30" s="89" t="e">
        <f>10^((#REF!-C$6)/D$6)</f>
        <v>#REF!</v>
      </c>
      <c r="AC30" s="89" t="e">
        <f>10^((#REF!-C$4)/D$4)</f>
        <v>#REF!</v>
      </c>
      <c r="AD30" s="89">
        <f t="shared" si="0"/>
        <v>0.11440558417395054</v>
      </c>
      <c r="AE30" s="89">
        <f t="shared" si="14"/>
        <v>1.5268947115554792</v>
      </c>
      <c r="AF30" s="89">
        <f t="shared" si="1"/>
        <v>24.446921689726768</v>
      </c>
      <c r="AG30" s="89">
        <f t="shared" si="2"/>
        <v>6.3776252318822459</v>
      </c>
      <c r="AH30" s="89">
        <f t="shared" si="3"/>
        <v>1.0667233162242369</v>
      </c>
      <c r="AI30" s="71" t="e">
        <f t="shared" si="4"/>
        <v>#REF!</v>
      </c>
      <c r="AJ30" s="71" t="e">
        <f t="shared" si="5"/>
        <v>#REF!</v>
      </c>
      <c r="AK30" s="71" t="e">
        <f t="shared" si="6"/>
        <v>#REF!</v>
      </c>
      <c r="AL30" s="71" t="e">
        <f t="shared" si="7"/>
        <v>#REF!</v>
      </c>
      <c r="AM30" s="71" t="e">
        <f t="shared" si="8"/>
        <v>#REF!</v>
      </c>
      <c r="AN30" s="71">
        <f t="shared" si="9"/>
        <v>966541004.34277523</v>
      </c>
      <c r="AO30" s="71">
        <f t="shared" si="10"/>
        <v>10554361745.852955</v>
      </c>
      <c r="AP30" s="71">
        <f t="shared" si="11"/>
        <v>200954630651.83536</v>
      </c>
      <c r="AQ30" s="71">
        <f t="shared" si="12"/>
        <v>47697539923.490913</v>
      </c>
      <c r="AR30" s="71">
        <f t="shared" si="13"/>
        <v>10138585559.189322</v>
      </c>
    </row>
    <row r="31" spans="1:44" hidden="1" x14ac:dyDescent="0.25">
      <c r="A31" s="168" t="s">
        <v>10</v>
      </c>
      <c r="B31" s="189" t="s">
        <v>147</v>
      </c>
      <c r="C31" t="s">
        <v>15</v>
      </c>
      <c r="D31" s="276">
        <v>27.15</v>
      </c>
      <c r="E31" s="260">
        <v>26.56</v>
      </c>
      <c r="F31" s="281">
        <v>26.86</v>
      </c>
      <c r="G31" s="260">
        <v>28.06</v>
      </c>
      <c r="H31" s="258">
        <v>27.73</v>
      </c>
      <c r="I31" s="281">
        <v>27.89</v>
      </c>
      <c r="J31" s="260">
        <v>29.72</v>
      </c>
      <c r="K31" s="255">
        <v>30.11</v>
      </c>
      <c r="L31" s="284">
        <v>29.92</v>
      </c>
      <c r="M31" s="258">
        <v>30.49</v>
      </c>
      <c r="N31" s="255">
        <v>29.91</v>
      </c>
      <c r="O31" s="284">
        <v>30.2</v>
      </c>
      <c r="P31" s="255">
        <v>27.15</v>
      </c>
      <c r="Q31" s="260">
        <v>27.14</v>
      </c>
      <c r="R31" s="287">
        <v>27.15</v>
      </c>
      <c r="S31" s="170">
        <v>30.62</v>
      </c>
      <c r="T31" s="171">
        <v>26.57</v>
      </c>
      <c r="U31" s="170">
        <v>27.1</v>
      </c>
      <c r="V31" s="171">
        <v>29.47</v>
      </c>
      <c r="W31" s="172">
        <v>30.72</v>
      </c>
      <c r="X31" s="253">
        <v>33.624275341592252</v>
      </c>
      <c r="Y31" s="90" t="e">
        <f>10^((#REF!-C$2)/D$2)</f>
        <v>#REF!</v>
      </c>
      <c r="Z31" s="90" t="e">
        <f>10^((#REF!-C$3)/D$3)</f>
        <v>#REF!</v>
      </c>
      <c r="AA31" s="90" t="e">
        <f>10^((#REF!-C$5)/D$5)</f>
        <v>#REF!</v>
      </c>
      <c r="AB31" s="90" t="e">
        <f>10^((#REF!-C$6)/D$6)</f>
        <v>#REF!</v>
      </c>
      <c r="AC31" s="90" t="e">
        <f>10^((#REF!-C$4)/D$4)</f>
        <v>#REF!</v>
      </c>
      <c r="AD31" s="90">
        <f t="shared" si="0"/>
        <v>0.13799591808889122</v>
      </c>
      <c r="AE31" s="90">
        <f t="shared" si="14"/>
        <v>1.6824040418141399</v>
      </c>
      <c r="AF31" s="90">
        <f t="shared" si="1"/>
        <v>0.73695899653601904</v>
      </c>
      <c r="AG31" s="90">
        <f t="shared" si="2"/>
        <v>0.67726806041674215</v>
      </c>
      <c r="AH31" s="90">
        <f t="shared" si="3"/>
        <v>2.5143837772964629E-2</v>
      </c>
      <c r="AI31" s="72" t="e">
        <f t="shared" si="4"/>
        <v>#REF!</v>
      </c>
      <c r="AJ31" s="72" t="e">
        <f t="shared" si="5"/>
        <v>#REF!</v>
      </c>
      <c r="AK31" s="72" t="e">
        <f t="shared" si="6"/>
        <v>#REF!</v>
      </c>
      <c r="AL31" s="72" t="e">
        <f t="shared" si="7"/>
        <v>#REF!</v>
      </c>
      <c r="AM31" s="72" t="e">
        <f t="shared" si="8"/>
        <v>#REF!</v>
      </c>
      <c r="AN31" s="72">
        <f t="shared" si="9"/>
        <v>1165840935.3693922</v>
      </c>
      <c r="AO31" s="72">
        <f t="shared" si="10"/>
        <v>11629289646.24053</v>
      </c>
      <c r="AP31" s="72">
        <f t="shared" si="11"/>
        <v>6057831118.1270905</v>
      </c>
      <c r="AQ31" s="72">
        <f t="shared" si="12"/>
        <v>5065211450.3596878</v>
      </c>
      <c r="AR31" s="72">
        <f t="shared" si="13"/>
        <v>238977574.2878677</v>
      </c>
    </row>
    <row r="32" spans="1:44" x14ac:dyDescent="0.25">
      <c r="A32" s="130" t="s">
        <v>23</v>
      </c>
      <c r="B32" s="184" t="s">
        <v>144</v>
      </c>
      <c r="C32" s="185" t="s">
        <v>145</v>
      </c>
      <c r="D32" s="272">
        <v>21.73</v>
      </c>
      <c r="E32" s="273">
        <v>22.48</v>
      </c>
      <c r="F32" s="280">
        <v>22.1</v>
      </c>
      <c r="G32" s="273">
        <v>24.55</v>
      </c>
      <c r="H32" s="275">
        <v>24.79</v>
      </c>
      <c r="I32" s="280">
        <v>24.67</v>
      </c>
      <c r="J32" s="273">
        <v>25.73</v>
      </c>
      <c r="K32" s="274">
        <v>25.61</v>
      </c>
      <c r="L32" s="283">
        <v>25.67</v>
      </c>
      <c r="M32" s="275">
        <v>24.65</v>
      </c>
      <c r="N32" s="274">
        <v>24.79</v>
      </c>
      <c r="O32" s="283">
        <v>24.72</v>
      </c>
      <c r="P32" s="274">
        <v>23.74</v>
      </c>
      <c r="Q32" s="273">
        <v>23.8</v>
      </c>
      <c r="R32" s="286">
        <v>23.77</v>
      </c>
      <c r="S32" s="165">
        <v>27.1</v>
      </c>
      <c r="T32" s="166">
        <v>22.45</v>
      </c>
      <c r="U32" s="165">
        <v>23.17</v>
      </c>
      <c r="V32" s="166">
        <v>25.46</v>
      </c>
      <c r="W32" s="167">
        <v>25.56</v>
      </c>
      <c r="X32" s="252">
        <v>29.511510354859599</v>
      </c>
      <c r="Y32" s="88" t="e">
        <f>10^((#REF!-C$2)/D$2)</f>
        <v>#REF!</v>
      </c>
      <c r="Z32" s="88" t="e">
        <f>10^((#REF!-C$3)/D$3)</f>
        <v>#REF!</v>
      </c>
      <c r="AA32" s="88" t="e">
        <f>10^((#REF!-C$5)/D$5)</f>
        <v>#REF!</v>
      </c>
      <c r="AB32" s="88" t="e">
        <f>10^((#REF!-C$6)/D$6)</f>
        <v>#REF!</v>
      </c>
      <c r="AC32" s="88" t="e">
        <f>10^((#REF!-C$4)/D$4)</f>
        <v>#REF!</v>
      </c>
      <c r="AD32" s="88">
        <f t="shared" si="0"/>
        <v>1.4568659690188699</v>
      </c>
      <c r="AE32" s="88">
        <f t="shared" si="14"/>
        <v>1.5657347189277346</v>
      </c>
      <c r="AF32" s="88">
        <f t="shared" si="1"/>
        <v>12.730599819168171</v>
      </c>
      <c r="AG32" s="88">
        <f t="shared" si="2"/>
        <v>9.0410042072729127</v>
      </c>
      <c r="AH32" s="88">
        <f t="shared" si="3"/>
        <v>0.97962626195685432</v>
      </c>
      <c r="AI32" s="70" t="e">
        <f t="shared" si="4"/>
        <v>#REF!</v>
      </c>
      <c r="AJ32" s="70" t="e">
        <f t="shared" si="5"/>
        <v>#REF!</v>
      </c>
      <c r="AK32" s="70" t="e">
        <f t="shared" si="6"/>
        <v>#REF!</v>
      </c>
      <c r="AL32" s="70" t="e">
        <f t="shared" si="7"/>
        <v>#REF!</v>
      </c>
      <c r="AM32" s="70" t="e">
        <f t="shared" si="8"/>
        <v>#REF!</v>
      </c>
      <c r="AN32" s="70">
        <f t="shared" si="9"/>
        <v>12308146556.441687</v>
      </c>
      <c r="AO32" s="70">
        <f t="shared" si="10"/>
        <v>10822835717.8407</v>
      </c>
      <c r="AP32" s="70">
        <f t="shared" si="11"/>
        <v>104646017077.57401</v>
      </c>
      <c r="AQ32" s="70">
        <f t="shared" si="12"/>
        <v>67616650939.142426</v>
      </c>
      <c r="AR32" s="70">
        <f t="shared" si="13"/>
        <v>9310778645.0507832</v>
      </c>
    </row>
    <row r="33" spans="1:44" x14ac:dyDescent="0.25">
      <c r="A33" s="136" t="s">
        <v>23</v>
      </c>
      <c r="B33" s="186" t="s">
        <v>144</v>
      </c>
      <c r="C33" t="s">
        <v>146</v>
      </c>
      <c r="D33" s="276">
        <v>15.76</v>
      </c>
      <c r="E33" s="260">
        <v>16.059999999999999</v>
      </c>
      <c r="F33" s="281">
        <v>15.91</v>
      </c>
      <c r="G33" s="260">
        <v>16.18</v>
      </c>
      <c r="H33" s="258">
        <v>16.100000000000001</v>
      </c>
      <c r="I33" s="281">
        <v>16.14</v>
      </c>
      <c r="J33" s="260">
        <v>16.420000000000002</v>
      </c>
      <c r="K33" s="255">
        <v>16.829999999999998</v>
      </c>
      <c r="L33" s="284">
        <v>16.62</v>
      </c>
      <c r="M33" s="258">
        <v>21.22</v>
      </c>
      <c r="N33" s="255">
        <v>22.16</v>
      </c>
      <c r="O33" s="284">
        <v>21.69</v>
      </c>
      <c r="P33" s="255">
        <v>18.57</v>
      </c>
      <c r="Q33" s="260">
        <v>18.760000000000002</v>
      </c>
      <c r="R33" s="287">
        <v>18.66</v>
      </c>
      <c r="S33" s="170">
        <v>20.309999999999999</v>
      </c>
      <c r="T33" s="171">
        <v>21.44</v>
      </c>
      <c r="U33" s="170">
        <v>27.24</v>
      </c>
      <c r="V33" s="171">
        <v>26.8</v>
      </c>
      <c r="W33" s="172">
        <v>24.37</v>
      </c>
      <c r="X33" s="253">
        <v>27.804843026568001</v>
      </c>
      <c r="Y33" s="89" t="e">
        <f>10^((#REF!-C$2)/D$2)</f>
        <v>#REF!</v>
      </c>
      <c r="Z33" s="89" t="e">
        <f>10^((#REF!-C$3)/D$3)</f>
        <v>#REF!</v>
      </c>
      <c r="AA33" s="89" t="e">
        <f>10^((#REF!-C$5)/D$5)</f>
        <v>#REF!</v>
      </c>
      <c r="AB33" s="89" t="e">
        <f>10^((#REF!-C$6)/D$6)</f>
        <v>#REF!</v>
      </c>
      <c r="AC33" s="89" t="e">
        <f>10^((#REF!-C$4)/D$4)</f>
        <v>#REF!</v>
      </c>
      <c r="AD33" s="89">
        <f t="shared" si="0"/>
        <v>137.3506644641935</v>
      </c>
      <c r="AE33" s="89">
        <f t="shared" si="14"/>
        <v>1.5383907738895257</v>
      </c>
      <c r="AF33" s="89">
        <f t="shared" si="1"/>
        <v>0.66582902083987716</v>
      </c>
      <c r="AG33" s="89">
        <f t="shared" si="2"/>
        <v>3.8030243374459212</v>
      </c>
      <c r="AH33" s="89">
        <f t="shared" si="3"/>
        <v>2.2797724021256216</v>
      </c>
      <c r="AI33" s="71" t="e">
        <f t="shared" si="4"/>
        <v>#REF!</v>
      </c>
      <c r="AJ33" s="71" t="e">
        <f t="shared" si="5"/>
        <v>#REF!</v>
      </c>
      <c r="AK33" s="71" t="e">
        <f t="shared" si="6"/>
        <v>#REF!</v>
      </c>
      <c r="AL33" s="71" t="e">
        <f t="shared" si="7"/>
        <v>#REF!</v>
      </c>
      <c r="AM33" s="71" t="e">
        <f t="shared" si="8"/>
        <v>#REF!</v>
      </c>
      <c r="AN33" s="71">
        <f t="shared" si="9"/>
        <v>1160389592316.7415</v>
      </c>
      <c r="AO33" s="71">
        <f t="shared" si="10"/>
        <v>10633826033.474199</v>
      </c>
      <c r="AP33" s="71">
        <f t="shared" si="11"/>
        <v>5473139999.314414</v>
      </c>
      <c r="AQ33" s="71">
        <f t="shared" si="12"/>
        <v>28442390164.057793</v>
      </c>
      <c r="AR33" s="71">
        <f t="shared" si="13"/>
        <v>21667912571.970474</v>
      </c>
    </row>
    <row r="34" spans="1:44" x14ac:dyDescent="0.25">
      <c r="A34" s="140" t="s">
        <v>23</v>
      </c>
      <c r="B34" s="187" t="s">
        <v>144</v>
      </c>
      <c r="C34" s="188" t="s">
        <v>15</v>
      </c>
      <c r="D34" s="277">
        <v>25.12</v>
      </c>
      <c r="E34" s="257">
        <v>24.24</v>
      </c>
      <c r="F34" s="282">
        <v>24.68</v>
      </c>
      <c r="G34" s="257">
        <v>25.45</v>
      </c>
      <c r="H34" s="259">
        <v>25.43</v>
      </c>
      <c r="I34" s="282">
        <v>25.44</v>
      </c>
      <c r="J34" s="257">
        <v>26.87</v>
      </c>
      <c r="K34" s="256">
        <v>26.66</v>
      </c>
      <c r="L34" s="285">
        <v>26.77</v>
      </c>
      <c r="M34" s="259">
        <v>29.53</v>
      </c>
      <c r="N34" s="256">
        <v>29.6</v>
      </c>
      <c r="O34" s="285">
        <v>29.57</v>
      </c>
      <c r="P34" s="256">
        <v>23.48</v>
      </c>
      <c r="Q34" s="257">
        <v>23.55</v>
      </c>
      <c r="R34" s="288">
        <v>23.52</v>
      </c>
      <c r="S34" s="175">
        <v>28.65</v>
      </c>
      <c r="T34" s="176">
        <v>27.11</v>
      </c>
      <c r="U34" s="175">
        <v>20.7</v>
      </c>
      <c r="V34" s="176">
        <v>27.27</v>
      </c>
      <c r="W34" s="177">
        <v>24.46</v>
      </c>
      <c r="X34" s="254">
        <v>23.128115624533947</v>
      </c>
      <c r="Y34" s="90" t="e">
        <f>10^((#REF!-C$2)/D$2)</f>
        <v>#REF!</v>
      </c>
      <c r="Z34" s="90" t="e">
        <f>10^((#REF!-C$3)/D$3)</f>
        <v>#REF!</v>
      </c>
      <c r="AA34" s="90" t="e">
        <f>10^((#REF!-C$5)/D$5)</f>
        <v>#REF!</v>
      </c>
      <c r="AB34" s="90" t="e">
        <f>10^((#REF!-C$6)/D$6)</f>
        <v>#REF!</v>
      </c>
      <c r="AC34" s="90" t="e">
        <f>10^((#REF!-C$4)/D$4)</f>
        <v>#REF!</v>
      </c>
      <c r="AD34" s="90">
        <f t="shared" si="0"/>
        <v>0.51606829928043008</v>
      </c>
      <c r="AE34" s="90">
        <f t="shared" si="14"/>
        <v>1.6983266013166305</v>
      </c>
      <c r="AF34" s="90">
        <f t="shared" si="1"/>
        <v>76.305646288811275</v>
      </c>
      <c r="AG34" s="90">
        <f t="shared" si="2"/>
        <v>2.8068408854625817</v>
      </c>
      <c r="AH34" s="90">
        <f t="shared" si="3"/>
        <v>2.1386906239059691</v>
      </c>
      <c r="AI34" s="72" t="e">
        <f t="shared" si="4"/>
        <v>#REF!</v>
      </c>
      <c r="AJ34" s="72" t="e">
        <f t="shared" si="5"/>
        <v>#REF!</v>
      </c>
      <c r="AK34" s="72" t="e">
        <f t="shared" si="6"/>
        <v>#REF!</v>
      </c>
      <c r="AL34" s="72" t="e">
        <f t="shared" si="7"/>
        <v>#REF!</v>
      </c>
      <c r="AM34" s="72" t="e">
        <f t="shared" si="8"/>
        <v>#REF!</v>
      </c>
      <c r="AN34" s="72">
        <f t="shared" si="9"/>
        <v>4359937287.130682</v>
      </c>
      <c r="AO34" s="72">
        <f t="shared" si="10"/>
        <v>11739351231.782309</v>
      </c>
      <c r="AP34" s="72">
        <f t="shared" si="11"/>
        <v>627235328898.74622</v>
      </c>
      <c r="AQ34" s="72">
        <f t="shared" si="12"/>
        <v>20992046463.308079</v>
      </c>
      <c r="AR34" s="72">
        <f t="shared" si="13"/>
        <v>20327012211.429523</v>
      </c>
    </row>
    <row r="35" spans="1:44" x14ac:dyDescent="0.25">
      <c r="A35" s="136" t="s">
        <v>23</v>
      </c>
      <c r="B35" s="186" t="s">
        <v>144</v>
      </c>
      <c r="C35" t="s">
        <v>145</v>
      </c>
      <c r="D35" s="276">
        <v>18.48</v>
      </c>
      <c r="E35" s="260">
        <v>18.79</v>
      </c>
      <c r="F35" s="281">
        <v>18.64</v>
      </c>
      <c r="G35" s="260">
        <v>20.05</v>
      </c>
      <c r="H35" s="258">
        <v>20.28</v>
      </c>
      <c r="I35" s="281">
        <v>20.16</v>
      </c>
      <c r="J35" s="260">
        <v>20.53</v>
      </c>
      <c r="K35" s="255">
        <v>20.18</v>
      </c>
      <c r="L35" s="284">
        <v>20.36</v>
      </c>
      <c r="M35" s="258">
        <v>22.28</v>
      </c>
      <c r="N35" s="255">
        <v>22.54</v>
      </c>
      <c r="O35" s="284">
        <v>22.41</v>
      </c>
      <c r="P35" s="255">
        <v>19.170000000000002</v>
      </c>
      <c r="Q35" s="260">
        <v>19.03</v>
      </c>
      <c r="R35" s="287">
        <v>19.100000000000001</v>
      </c>
      <c r="S35" s="170">
        <v>21.81</v>
      </c>
      <c r="T35" s="171">
        <v>20.85</v>
      </c>
      <c r="U35" s="170">
        <v>20.65</v>
      </c>
      <c r="V35" s="171">
        <v>22.62</v>
      </c>
      <c r="W35" s="172">
        <v>24</v>
      </c>
      <c r="X35" s="253">
        <v>30.532720950615548</v>
      </c>
      <c r="Y35" s="88" t="e">
        <f>10^((#REF!-C$2)/D$2)</f>
        <v>#REF!</v>
      </c>
      <c r="Z35" s="88" t="e">
        <f>10^((#REF!-C$3)/D$3)</f>
        <v>#REF!</v>
      </c>
      <c r="AA35" s="88" t="e">
        <f>10^((#REF!-C$5)/D$5)</f>
        <v>#REF!</v>
      </c>
      <c r="AB35" s="88" t="e">
        <f>10^((#REF!-C$6)/D$6)</f>
        <v>#REF!</v>
      </c>
      <c r="AC35" s="88" t="e">
        <f>10^((#REF!-C$4)/D$4)</f>
        <v>#REF!</v>
      </c>
      <c r="AD35" s="88">
        <f t="shared" si="0"/>
        <v>50.31036389190109</v>
      </c>
      <c r="AE35" s="88">
        <f t="shared" si="14"/>
        <v>1.5226390712701818</v>
      </c>
      <c r="AF35" s="88">
        <f t="shared" si="1"/>
        <v>79.122453922691733</v>
      </c>
      <c r="AG35" s="88">
        <f t="shared" si="2"/>
        <v>56.662767556004468</v>
      </c>
      <c r="AH35" s="88">
        <f t="shared" si="3"/>
        <v>2.9644778660707791</v>
      </c>
      <c r="AI35" s="70" t="e">
        <f t="shared" si="4"/>
        <v>#REF!</v>
      </c>
      <c r="AJ35" s="70" t="e">
        <f t="shared" si="5"/>
        <v>#REF!</v>
      </c>
      <c r="AK35" s="70" t="e">
        <f t="shared" si="6"/>
        <v>#REF!</v>
      </c>
      <c r="AL35" s="70" t="e">
        <f t="shared" si="7"/>
        <v>#REF!</v>
      </c>
      <c r="AM35" s="70" t="e">
        <f t="shared" si="8"/>
        <v>#REF!</v>
      </c>
      <c r="AN35" s="70">
        <f t="shared" si="9"/>
        <v>425040700556.99823</v>
      </c>
      <c r="AO35" s="70">
        <f t="shared" si="10"/>
        <v>10524945462.797331</v>
      </c>
      <c r="AP35" s="70">
        <f t="shared" si="11"/>
        <v>650389595307.73889</v>
      </c>
      <c r="AQ35" s="70">
        <f t="shared" si="12"/>
        <v>423774448860.23212</v>
      </c>
      <c r="AR35" s="70">
        <f t="shared" si="13"/>
        <v>28175640324.302761</v>
      </c>
    </row>
    <row r="36" spans="1:44" x14ac:dyDescent="0.25">
      <c r="A36" s="136" t="s">
        <v>23</v>
      </c>
      <c r="B36" s="186" t="s">
        <v>144</v>
      </c>
      <c r="C36" t="s">
        <v>146</v>
      </c>
      <c r="D36" s="276">
        <v>14.82</v>
      </c>
      <c r="E36" s="260">
        <v>15.23</v>
      </c>
      <c r="F36" s="281">
        <v>15.03</v>
      </c>
      <c r="G36" s="260">
        <v>15.09</v>
      </c>
      <c r="H36" s="258">
        <v>14.88</v>
      </c>
      <c r="I36" s="281">
        <v>14.99</v>
      </c>
      <c r="J36" s="260">
        <v>15.89</v>
      </c>
      <c r="K36" s="255">
        <v>16.12</v>
      </c>
      <c r="L36" s="284">
        <v>16.010000000000002</v>
      </c>
      <c r="M36" s="258">
        <v>21.01</v>
      </c>
      <c r="N36" s="255">
        <v>21.07</v>
      </c>
      <c r="O36" s="284">
        <v>21.04</v>
      </c>
      <c r="P36" s="255">
        <v>18.309999999999999</v>
      </c>
      <c r="Q36" s="260">
        <v>18.14</v>
      </c>
      <c r="R36" s="287">
        <v>18.23</v>
      </c>
      <c r="S36" s="170">
        <v>19.79</v>
      </c>
      <c r="T36" s="171">
        <v>20.51</v>
      </c>
      <c r="U36" s="170">
        <v>19.66</v>
      </c>
      <c r="V36" s="171">
        <v>20.61</v>
      </c>
      <c r="W36" s="172">
        <v>18.239999999999998</v>
      </c>
      <c r="X36" s="253">
        <v>24.30607331847305</v>
      </c>
      <c r="Y36" s="89" t="e">
        <f>10^((#REF!-C$2)/D$2)</f>
        <v>#REF!</v>
      </c>
      <c r="Z36" s="89" t="e">
        <f>10^((#REF!-C$3)/D$3)</f>
        <v>#REF!</v>
      </c>
      <c r="AA36" s="89" t="e">
        <f>10^((#REF!-C$5)/D$5)</f>
        <v>#REF!</v>
      </c>
      <c r="AB36" s="89" t="e">
        <f>10^((#REF!-C$6)/D$6)</f>
        <v>#REF!</v>
      </c>
      <c r="AC36" s="89" t="e">
        <f>10^((#REF!-C$4)/D$4)</f>
        <v>#REF!</v>
      </c>
      <c r="AD36" s="89">
        <f t="shared" si="0"/>
        <v>194.55281136157606</v>
      </c>
      <c r="AE36" s="89">
        <f t="shared" si="14"/>
        <v>1.5136351766809424</v>
      </c>
      <c r="AF36" s="89">
        <f t="shared" si="1"/>
        <v>162.18571302292324</v>
      </c>
      <c r="AG36" s="89">
        <f t="shared" si="2"/>
        <v>207.69647832386244</v>
      </c>
      <c r="AH36" s="89">
        <f t="shared" si="3"/>
        <v>176.8210270300151</v>
      </c>
      <c r="AI36" s="71" t="e">
        <f t="shared" si="4"/>
        <v>#REF!</v>
      </c>
      <c r="AJ36" s="71" t="e">
        <f t="shared" si="5"/>
        <v>#REF!</v>
      </c>
      <c r="AK36" s="71" t="e">
        <f t="shared" si="6"/>
        <v>#REF!</v>
      </c>
      <c r="AL36" s="71" t="e">
        <f t="shared" si="7"/>
        <v>#REF!</v>
      </c>
      <c r="AM36" s="71" t="e">
        <f t="shared" si="8"/>
        <v>#REF!</v>
      </c>
      <c r="AN36" s="71">
        <f t="shared" si="9"/>
        <v>1643654643686.0425</v>
      </c>
      <c r="AO36" s="71">
        <f t="shared" si="10"/>
        <v>10462707798.407522</v>
      </c>
      <c r="AP36" s="71">
        <f t="shared" si="11"/>
        <v>1333172759792.5793</v>
      </c>
      <c r="AQ36" s="71">
        <f t="shared" si="12"/>
        <v>1553338540072.4038</v>
      </c>
      <c r="AR36" s="71">
        <f t="shared" si="13"/>
        <v>1680581162838.9377</v>
      </c>
    </row>
    <row r="37" spans="1:44" x14ac:dyDescent="0.25">
      <c r="A37" s="136" t="s">
        <v>23</v>
      </c>
      <c r="B37" s="186" t="s">
        <v>144</v>
      </c>
      <c r="C37" t="s">
        <v>15</v>
      </c>
      <c r="D37" s="276">
        <v>23.7</v>
      </c>
      <c r="E37" s="260">
        <v>24.54</v>
      </c>
      <c r="F37" s="281">
        <v>24.12</v>
      </c>
      <c r="G37" s="260">
        <v>25.63</v>
      </c>
      <c r="H37" s="258">
        <v>25.56</v>
      </c>
      <c r="I37" s="281">
        <v>25.59</v>
      </c>
      <c r="J37" s="260">
        <v>25.72</v>
      </c>
      <c r="K37" s="255">
        <v>26</v>
      </c>
      <c r="L37" s="284">
        <v>25.86</v>
      </c>
      <c r="M37" s="258">
        <v>29.49</v>
      </c>
      <c r="N37" s="255">
        <v>29.41</v>
      </c>
      <c r="O37" s="284">
        <v>29.45</v>
      </c>
      <c r="P37" s="255">
        <v>25.05</v>
      </c>
      <c r="Q37" s="260">
        <v>24.71</v>
      </c>
      <c r="R37" s="287">
        <v>24.88</v>
      </c>
      <c r="S37" s="170">
        <v>28.11</v>
      </c>
      <c r="T37" s="171">
        <v>27.58</v>
      </c>
      <c r="U37" s="170">
        <v>27.38</v>
      </c>
      <c r="V37" s="171">
        <v>26.8</v>
      </c>
      <c r="W37" s="172">
        <v>30.44</v>
      </c>
      <c r="X37" s="253">
        <v>24.451318653986299</v>
      </c>
      <c r="Y37" s="90" t="e">
        <f>10^((#REF!-C$2)/D$2)</f>
        <v>#REF!</v>
      </c>
      <c r="Z37" s="90" t="e">
        <f>10^((#REF!-C$3)/D$3)</f>
        <v>#REF!</v>
      </c>
      <c r="AA37" s="90" t="e">
        <f>10^((#REF!-C$5)/D$5)</f>
        <v>#REF!</v>
      </c>
      <c r="AB37" s="90" t="e">
        <f>10^((#REF!-C$6)/D$6)</f>
        <v>#REF!</v>
      </c>
      <c r="AC37" s="90" t="e">
        <f>10^((#REF!-C$4)/D$4)</f>
        <v>#REF!</v>
      </c>
      <c r="AD37" s="90">
        <f t="shared" si="0"/>
        <v>0.74084878428350498</v>
      </c>
      <c r="AE37" s="90">
        <f t="shared" si="14"/>
        <v>1.7123077336668382</v>
      </c>
      <c r="AF37" s="90">
        <f t="shared" si="1"/>
        <v>0.60156438428243109</v>
      </c>
      <c r="AG37" s="90">
        <f t="shared" si="2"/>
        <v>3.8030243374459212</v>
      </c>
      <c r="AH37" s="90">
        <f t="shared" si="3"/>
        <v>3.0672188146845844E-2</v>
      </c>
      <c r="AI37" s="72" t="e">
        <f t="shared" si="4"/>
        <v>#REF!</v>
      </c>
      <c r="AJ37" s="72" t="e">
        <f t="shared" si="5"/>
        <v>#REF!</v>
      </c>
      <c r="AK37" s="72" t="e">
        <f t="shared" si="6"/>
        <v>#REF!</v>
      </c>
      <c r="AL37" s="72" t="e">
        <f t="shared" si="7"/>
        <v>#REF!</v>
      </c>
      <c r="AM37" s="72" t="e">
        <f t="shared" si="8"/>
        <v>#REF!</v>
      </c>
      <c r="AN37" s="72">
        <f t="shared" si="9"/>
        <v>6258966581.0259066</v>
      </c>
      <c r="AO37" s="72">
        <f t="shared" si="10"/>
        <v>11835993080.970728</v>
      </c>
      <c r="AP37" s="72">
        <f t="shared" si="11"/>
        <v>4944882230.6153421</v>
      </c>
      <c r="AQ37" s="72">
        <f t="shared" si="12"/>
        <v>28442390164.057793</v>
      </c>
      <c r="AR37" s="72">
        <f t="shared" si="13"/>
        <v>291521333.68103796</v>
      </c>
    </row>
    <row r="38" spans="1:44" x14ac:dyDescent="0.25">
      <c r="A38" s="130" t="s">
        <v>23</v>
      </c>
      <c r="B38" s="184" t="s">
        <v>144</v>
      </c>
      <c r="C38" s="185" t="s">
        <v>145</v>
      </c>
      <c r="D38" s="272">
        <v>22.52</v>
      </c>
      <c r="E38" s="273">
        <v>23.18</v>
      </c>
      <c r="F38" s="280">
        <v>22.85</v>
      </c>
      <c r="G38" s="273">
        <v>22.76</v>
      </c>
      <c r="H38" s="275">
        <v>22.94</v>
      </c>
      <c r="I38" s="280">
        <v>22.85</v>
      </c>
      <c r="J38" s="273">
        <v>22.66</v>
      </c>
      <c r="K38" s="274">
        <v>22.57</v>
      </c>
      <c r="L38" s="283">
        <v>22.61</v>
      </c>
      <c r="M38" s="275">
        <v>26.31</v>
      </c>
      <c r="N38" s="274">
        <v>26.48</v>
      </c>
      <c r="O38" s="283">
        <v>26.39</v>
      </c>
      <c r="P38" s="274">
        <v>22.51</v>
      </c>
      <c r="Q38" s="273">
        <v>22.71</v>
      </c>
      <c r="R38" s="286">
        <v>22.61</v>
      </c>
      <c r="S38" s="165">
        <v>26.15</v>
      </c>
      <c r="T38" s="166">
        <v>24.82</v>
      </c>
      <c r="U38" s="165">
        <v>25.43</v>
      </c>
      <c r="V38" s="166">
        <v>29.39</v>
      </c>
      <c r="W38" s="167">
        <v>24.98</v>
      </c>
      <c r="X38" s="252">
        <v>30.374764290347251</v>
      </c>
      <c r="Y38" s="88" t="e">
        <f>10^((#REF!-C$2)/D$2)</f>
        <v>#REF!</v>
      </c>
      <c r="Z38" s="88" t="e">
        <f>10^((#REF!-C$3)/D$3)</f>
        <v>#REF!</v>
      </c>
      <c r="AA38" s="88" t="e">
        <f>10^((#REF!-C$5)/D$5)</f>
        <v>#REF!</v>
      </c>
      <c r="AB38" s="88" t="e">
        <f>10^((#REF!-C$6)/D$6)</f>
        <v>#REF!</v>
      </c>
      <c r="AC38" s="88" t="e">
        <f>10^((#REF!-C$4)/D$4)</f>
        <v>#REF!</v>
      </c>
      <c r="AD38" s="88">
        <f t="shared" si="0"/>
        <v>2.7520903825437211</v>
      </c>
      <c r="AE38" s="88">
        <f t="shared" si="14"/>
        <v>1.6318217871101026</v>
      </c>
      <c r="AF38" s="88">
        <f t="shared" si="1"/>
        <v>2.473215529121362</v>
      </c>
      <c r="AG38" s="88">
        <f t="shared" si="2"/>
        <v>0.71320369423718566</v>
      </c>
      <c r="AH38" s="88">
        <f t="shared" si="3"/>
        <v>1.478604537197151</v>
      </c>
      <c r="AI38" s="70" t="e">
        <f t="shared" si="4"/>
        <v>#REF!</v>
      </c>
      <c r="AJ38" s="70" t="e">
        <f t="shared" si="5"/>
        <v>#REF!</v>
      </c>
      <c r="AK38" s="70" t="e">
        <f t="shared" si="6"/>
        <v>#REF!</v>
      </c>
      <c r="AL38" s="70" t="e">
        <f t="shared" si="7"/>
        <v>#REF!</v>
      </c>
      <c r="AM38" s="70" t="e">
        <f t="shared" si="8"/>
        <v>#REF!</v>
      </c>
      <c r="AN38" s="70">
        <f t="shared" si="9"/>
        <v>23250685021.995354</v>
      </c>
      <c r="AO38" s="70">
        <f t="shared" si="10"/>
        <v>11279649680.87355</v>
      </c>
      <c r="AP38" s="70">
        <f t="shared" si="11"/>
        <v>20329926175.769646</v>
      </c>
      <c r="AQ38" s="70">
        <f t="shared" si="12"/>
        <v>5333970003.348649</v>
      </c>
      <c r="AR38" s="70">
        <f t="shared" si="13"/>
        <v>14053277340.595398</v>
      </c>
    </row>
    <row r="39" spans="1:44" x14ac:dyDescent="0.25">
      <c r="A39" s="136" t="s">
        <v>23</v>
      </c>
      <c r="B39" s="186" t="s">
        <v>144</v>
      </c>
      <c r="C39" t="s">
        <v>146</v>
      </c>
      <c r="D39" s="276">
        <v>15.53</v>
      </c>
      <c r="E39" s="260">
        <v>15.57</v>
      </c>
      <c r="F39" s="281">
        <v>15.55</v>
      </c>
      <c r="G39" s="260">
        <v>15.27</v>
      </c>
      <c r="H39" s="258">
        <v>15.91</v>
      </c>
      <c r="I39" s="281">
        <v>15.59</v>
      </c>
      <c r="J39" s="260">
        <v>16.57</v>
      </c>
      <c r="K39" s="255">
        <v>16.55</v>
      </c>
      <c r="L39" s="284">
        <v>16.559999999999999</v>
      </c>
      <c r="M39" s="258">
        <v>21.03</v>
      </c>
      <c r="N39" s="255">
        <v>20.81</v>
      </c>
      <c r="O39" s="284">
        <v>20.92</v>
      </c>
      <c r="P39" s="255">
        <v>18.399999999999999</v>
      </c>
      <c r="Q39" s="260">
        <v>18.510000000000002</v>
      </c>
      <c r="R39" s="287">
        <v>18.45</v>
      </c>
      <c r="S39" s="170">
        <v>20.309999999999999</v>
      </c>
      <c r="T39" s="171">
        <v>21.23</v>
      </c>
      <c r="U39" s="170">
        <v>20.47</v>
      </c>
      <c r="V39" s="171">
        <v>20.69</v>
      </c>
      <c r="W39" s="172">
        <v>19.36</v>
      </c>
      <c r="X39" s="253">
        <v>27.521930362139948</v>
      </c>
      <c r="Y39" s="89" t="e">
        <f>10^((#REF!-C$2)/D$2)</f>
        <v>#REF!</v>
      </c>
      <c r="Z39" s="89" t="e">
        <f>10^((#REF!-C$3)/D$3)</f>
        <v>#REF!</v>
      </c>
      <c r="AA39" s="89" t="e">
        <f>10^((#REF!-C$5)/D$5)</f>
        <v>#REF!</v>
      </c>
      <c r="AB39" s="89" t="e">
        <f>10^((#REF!-C$6)/D$6)</f>
        <v>#REF!</v>
      </c>
      <c r="AC39" s="89" t="e">
        <f>10^((#REF!-C$4)/D$4)</f>
        <v>#REF!</v>
      </c>
      <c r="AD39" s="89">
        <f t="shared" si="0"/>
        <v>137.3506644641935</v>
      </c>
      <c r="AE39" s="89">
        <f t="shared" si="14"/>
        <v>1.5327656446216014</v>
      </c>
      <c r="AF39" s="89">
        <f t="shared" si="1"/>
        <v>90.151884833490172</v>
      </c>
      <c r="AG39" s="89">
        <f t="shared" si="2"/>
        <v>197.23143916162812</v>
      </c>
      <c r="AH39" s="89">
        <f t="shared" si="3"/>
        <v>79.851142509700168</v>
      </c>
      <c r="AI39" s="71" t="e">
        <f t="shared" si="4"/>
        <v>#REF!</v>
      </c>
      <c r="AJ39" s="71" t="e">
        <f t="shared" si="5"/>
        <v>#REF!</v>
      </c>
      <c r="AK39" s="71" t="e">
        <f t="shared" si="6"/>
        <v>#REF!</v>
      </c>
      <c r="AL39" s="71" t="e">
        <f t="shared" si="7"/>
        <v>#REF!</v>
      </c>
      <c r="AM39" s="71" t="e">
        <f t="shared" si="8"/>
        <v>#REF!</v>
      </c>
      <c r="AN39" s="71">
        <f t="shared" si="9"/>
        <v>1160389592316.7415</v>
      </c>
      <c r="AO39" s="71">
        <f t="shared" si="10"/>
        <v>10594943425.058865</v>
      </c>
      <c r="AP39" s="71">
        <f t="shared" si="11"/>
        <v>741051938939.77307</v>
      </c>
      <c r="AQ39" s="71">
        <f t="shared" si="12"/>
        <v>1475071692289.2754</v>
      </c>
      <c r="AR39" s="71">
        <f t="shared" si="13"/>
        <v>758938731365.86853</v>
      </c>
    </row>
    <row r="40" spans="1:44" x14ac:dyDescent="0.25">
      <c r="A40" s="140" t="s">
        <v>23</v>
      </c>
      <c r="B40" s="187" t="s">
        <v>144</v>
      </c>
      <c r="C40" s="188" t="s">
        <v>15</v>
      </c>
      <c r="D40" s="277">
        <v>24.05</v>
      </c>
      <c r="E40" s="257">
        <v>23.88</v>
      </c>
      <c r="F40" s="282">
        <v>23.96</v>
      </c>
      <c r="G40" s="257">
        <v>24.62</v>
      </c>
      <c r="H40" s="259">
        <v>24.66</v>
      </c>
      <c r="I40" s="282">
        <v>24.64</v>
      </c>
      <c r="J40" s="257">
        <v>24.81</v>
      </c>
      <c r="K40" s="256">
        <v>24.98</v>
      </c>
      <c r="L40" s="285">
        <v>24.9</v>
      </c>
      <c r="M40" s="259">
        <v>30.21</v>
      </c>
      <c r="N40" s="256">
        <v>30.41</v>
      </c>
      <c r="O40" s="285">
        <v>30.31</v>
      </c>
      <c r="P40" s="256">
        <v>24.44</v>
      </c>
      <c r="Q40" s="257">
        <v>24.83</v>
      </c>
      <c r="R40" s="288">
        <v>24.63</v>
      </c>
      <c r="S40" s="175">
        <v>28.63</v>
      </c>
      <c r="T40" s="176">
        <v>27.4</v>
      </c>
      <c r="U40" s="175">
        <v>27.7</v>
      </c>
      <c r="V40" s="176">
        <v>30.63</v>
      </c>
      <c r="W40" s="177">
        <v>28.17</v>
      </c>
      <c r="X40" s="254">
        <v>24.67976809003245</v>
      </c>
      <c r="Y40" s="90" t="e">
        <f>10^((#REF!-C$2)/D$2)</f>
        <v>#REF!</v>
      </c>
      <c r="Z40" s="90" t="e">
        <f>10^((#REF!-C$3)/D$3)</f>
        <v>#REF!</v>
      </c>
      <c r="AA40" s="90" t="e">
        <f>10^((#REF!-C$5)/D$5)</f>
        <v>#REF!</v>
      </c>
      <c r="AB40" s="90" t="e">
        <f>10^((#REF!-C$6)/D$6)</f>
        <v>#REF!</v>
      </c>
      <c r="AC40" s="90" t="e">
        <f>10^((#REF!-C$4)/D$4)</f>
        <v>#REF!</v>
      </c>
      <c r="AD40" s="90">
        <f t="shared" si="0"/>
        <v>0.52302545553924673</v>
      </c>
      <c r="AE40" s="90">
        <f t="shared" si="14"/>
        <v>1.7069397097640027</v>
      </c>
      <c r="AF40" s="90">
        <f t="shared" si="1"/>
        <v>0.4770088628863644</v>
      </c>
      <c r="AG40" s="90">
        <f t="shared" si="2"/>
        <v>0.32003115118118236</v>
      </c>
      <c r="AH40" s="90">
        <f t="shared" si="3"/>
        <v>0.15363782502073237</v>
      </c>
      <c r="AI40" s="72" t="e">
        <f t="shared" si="4"/>
        <v>#REF!</v>
      </c>
      <c r="AJ40" s="72" t="e">
        <f t="shared" si="5"/>
        <v>#REF!</v>
      </c>
      <c r="AK40" s="72" t="e">
        <f t="shared" si="6"/>
        <v>#REF!</v>
      </c>
      <c r="AL40" s="72" t="e">
        <f t="shared" si="7"/>
        <v>#REF!</v>
      </c>
      <c r="AM40" s="72" t="e">
        <f t="shared" si="8"/>
        <v>#REF!</v>
      </c>
      <c r="AN40" s="72">
        <f t="shared" si="9"/>
        <v>4418713935.546217</v>
      </c>
      <c r="AO40" s="72">
        <f t="shared" si="10"/>
        <v>11798887663.22179</v>
      </c>
      <c r="AP40" s="72">
        <f t="shared" si="11"/>
        <v>3921031084.2228861</v>
      </c>
      <c r="AQ40" s="72">
        <f t="shared" si="12"/>
        <v>2393476890.7266269</v>
      </c>
      <c r="AR40" s="72">
        <f t="shared" si="13"/>
        <v>1460238292.7317712</v>
      </c>
    </row>
    <row r="41" spans="1:44" hidden="1" x14ac:dyDescent="0.25">
      <c r="A41" s="136" t="s">
        <v>23</v>
      </c>
      <c r="B41" s="189" t="s">
        <v>147</v>
      </c>
      <c r="C41" t="s">
        <v>145</v>
      </c>
      <c r="D41" s="276">
        <v>28.4</v>
      </c>
      <c r="E41" s="260">
        <v>28.13</v>
      </c>
      <c r="F41" s="281">
        <v>28.27</v>
      </c>
      <c r="G41" s="260">
        <v>29.63</v>
      </c>
      <c r="H41" s="258">
        <v>29.92</v>
      </c>
      <c r="I41" s="281">
        <v>29.77</v>
      </c>
      <c r="J41" s="260">
        <v>30.33</v>
      </c>
      <c r="K41" s="255">
        <v>30.14</v>
      </c>
      <c r="L41" s="284">
        <v>30.24</v>
      </c>
      <c r="M41" s="258">
        <v>26.49</v>
      </c>
      <c r="N41" s="255">
        <v>26.62</v>
      </c>
      <c r="O41" s="284">
        <v>26.55</v>
      </c>
      <c r="P41" s="255">
        <v>28.79</v>
      </c>
      <c r="Q41" s="260">
        <v>29.06</v>
      </c>
      <c r="R41" s="287">
        <v>28.92</v>
      </c>
      <c r="S41" s="170">
        <v>32.32</v>
      </c>
      <c r="T41" s="171">
        <v>22.24</v>
      </c>
      <c r="U41" s="170">
        <v>25.18</v>
      </c>
      <c r="V41" s="171">
        <v>24.61</v>
      </c>
      <c r="W41" s="172">
        <v>30.58</v>
      </c>
      <c r="X41" s="253">
        <v>31.849798910970648</v>
      </c>
      <c r="Y41" s="88" t="e">
        <f>10^((#REF!-C$2)/D$2)</f>
        <v>#REF!</v>
      </c>
      <c r="Z41" s="88" t="e">
        <f>10^((#REF!-C$3)/D$3)</f>
        <v>#REF!</v>
      </c>
      <c r="AA41" s="88" t="e">
        <f>10^((#REF!-C$5)/D$5)</f>
        <v>#REF!</v>
      </c>
      <c r="AB41" s="88" t="e">
        <f>10^((#REF!-C$6)/D$6)</f>
        <v>#REF!</v>
      </c>
      <c r="AC41" s="88" t="e">
        <f>10^((#REF!-C$4)/D$4)</f>
        <v>#REF!</v>
      </c>
      <c r="AD41" s="88">
        <f t="shared" si="0"/>
        <v>4.4211626573515773E-2</v>
      </c>
      <c r="AE41" s="88">
        <f t="shared" si="14"/>
        <v>1.5600096064642883</v>
      </c>
      <c r="AF41" s="88">
        <f t="shared" si="1"/>
        <v>2.9646766303669718</v>
      </c>
      <c r="AG41" s="88">
        <f t="shared" si="2"/>
        <v>15.659564503349507</v>
      </c>
      <c r="AH41" s="88">
        <f t="shared" si="3"/>
        <v>2.777078542112452E-2</v>
      </c>
      <c r="AI41" s="70" t="e">
        <f t="shared" si="4"/>
        <v>#REF!</v>
      </c>
      <c r="AJ41" s="70" t="e">
        <f t="shared" si="5"/>
        <v>#REF!</v>
      </c>
      <c r="AK41" s="70" t="e">
        <f t="shared" si="6"/>
        <v>#REF!</v>
      </c>
      <c r="AL41" s="70" t="e">
        <f t="shared" si="7"/>
        <v>#REF!</v>
      </c>
      <c r="AM41" s="70" t="e">
        <f t="shared" si="8"/>
        <v>#REF!</v>
      </c>
      <c r="AN41" s="70">
        <f t="shared" si="9"/>
        <v>373516295.21003366</v>
      </c>
      <c r="AO41" s="70">
        <f t="shared" si="10"/>
        <v>10783261995.096354</v>
      </c>
      <c r="AP41" s="70">
        <f t="shared" si="11"/>
        <v>24369755211.670631</v>
      </c>
      <c r="AQ41" s="70">
        <f t="shared" si="12"/>
        <v>117116117038.215</v>
      </c>
      <c r="AR41" s="70">
        <f t="shared" si="13"/>
        <v>263945185.93120557</v>
      </c>
    </row>
    <row r="42" spans="1:44" hidden="1" x14ac:dyDescent="0.25">
      <c r="A42" s="136" t="s">
        <v>23</v>
      </c>
      <c r="B42" s="189" t="s">
        <v>147</v>
      </c>
      <c r="C42" t="s">
        <v>146</v>
      </c>
      <c r="D42" s="276">
        <v>16.91</v>
      </c>
      <c r="E42" s="260">
        <v>16.8</v>
      </c>
      <c r="F42" s="281">
        <v>16.86</v>
      </c>
      <c r="G42" s="260">
        <v>17.87</v>
      </c>
      <c r="H42" s="258">
        <v>17.73</v>
      </c>
      <c r="I42" s="281">
        <v>17.8</v>
      </c>
      <c r="J42" s="260">
        <v>19</v>
      </c>
      <c r="K42" s="255">
        <v>19.02</v>
      </c>
      <c r="L42" s="284">
        <v>19.010000000000002</v>
      </c>
      <c r="M42" s="258">
        <v>22.64</v>
      </c>
      <c r="N42" s="255">
        <v>22.61</v>
      </c>
      <c r="O42" s="284">
        <v>22.63</v>
      </c>
      <c r="P42" s="255">
        <v>21.73</v>
      </c>
      <c r="Q42" s="260">
        <v>21.8</v>
      </c>
      <c r="R42" s="287">
        <v>21.77</v>
      </c>
      <c r="S42" s="170">
        <v>24.23</v>
      </c>
      <c r="T42" s="171">
        <v>21.12</v>
      </c>
      <c r="U42" s="170">
        <v>21.12</v>
      </c>
      <c r="V42" s="171">
        <v>20.68</v>
      </c>
      <c r="W42" s="172">
        <v>21.42</v>
      </c>
      <c r="X42" s="253">
        <v>30.246715412246299</v>
      </c>
      <c r="Y42" s="89" t="e">
        <f>10^((#REF!-C$2)/D$2)</f>
        <v>#REF!</v>
      </c>
      <c r="Z42" s="89" t="e">
        <f>10^((#REF!-C$3)/D$3)</f>
        <v>#REF!</v>
      </c>
      <c r="AA42" s="89" t="e">
        <f>10^((#REF!-C$5)/D$5)</f>
        <v>#REF!</v>
      </c>
      <c r="AB42" s="89" t="e">
        <f>10^((#REF!-C$6)/D$6)</f>
        <v>#REF!</v>
      </c>
      <c r="AC42" s="89" t="e">
        <f>10^((#REF!-C$4)/D$4)</f>
        <v>#REF!</v>
      </c>
      <c r="AD42" s="89">
        <f t="shared" si="0"/>
        <v>9.9532411078795509</v>
      </c>
      <c r="AE42" s="89">
        <f t="shared" si="14"/>
        <v>1.5298273617721212</v>
      </c>
      <c r="AF42" s="89">
        <f t="shared" si="1"/>
        <v>56.274916783582015</v>
      </c>
      <c r="AG42" s="89">
        <f t="shared" si="2"/>
        <v>198.51017276385662</v>
      </c>
      <c r="AH42" s="89">
        <f t="shared" si="3"/>
        <v>18.503872986951503</v>
      </c>
      <c r="AI42" s="71" t="e">
        <f t="shared" si="4"/>
        <v>#REF!</v>
      </c>
      <c r="AJ42" s="71" t="e">
        <f t="shared" si="5"/>
        <v>#REF!</v>
      </c>
      <c r="AK42" s="71" t="e">
        <f t="shared" si="6"/>
        <v>#REF!</v>
      </c>
      <c r="AL42" s="71" t="e">
        <f t="shared" si="7"/>
        <v>#REF!</v>
      </c>
      <c r="AM42" s="71" t="e">
        <f t="shared" si="8"/>
        <v>#REF!</v>
      </c>
      <c r="AN42" s="71">
        <f t="shared" si="9"/>
        <v>84088689606.692825</v>
      </c>
      <c r="AO42" s="71">
        <f t="shared" si="10"/>
        <v>10574633118.21822</v>
      </c>
      <c r="AP42" s="71">
        <f t="shared" si="11"/>
        <v>462581966790.51447</v>
      </c>
      <c r="AQ42" s="71">
        <f t="shared" si="12"/>
        <v>1484635196701.3716</v>
      </c>
      <c r="AR42" s="71">
        <f t="shared" si="13"/>
        <v>175868565542.01694</v>
      </c>
    </row>
    <row r="43" spans="1:44" hidden="1" x14ac:dyDescent="0.25">
      <c r="A43" s="136" t="s">
        <v>23</v>
      </c>
      <c r="B43" s="189" t="s">
        <v>147</v>
      </c>
      <c r="C43" t="s">
        <v>15</v>
      </c>
      <c r="D43" s="276">
        <v>29.09</v>
      </c>
      <c r="E43" s="260">
        <v>29.79</v>
      </c>
      <c r="F43" s="281">
        <v>29.44</v>
      </c>
      <c r="G43" s="260">
        <v>31.55</v>
      </c>
      <c r="H43" s="258">
        <v>30.65</v>
      </c>
      <c r="I43" s="281">
        <v>31.1</v>
      </c>
      <c r="J43" s="260">
        <v>31.36</v>
      </c>
      <c r="K43" s="255">
        <v>32.22</v>
      </c>
      <c r="L43" s="284">
        <v>31.79</v>
      </c>
      <c r="M43" s="258">
        <v>34.869999999999997</v>
      </c>
      <c r="N43" s="255">
        <v>35.229999999999997</v>
      </c>
      <c r="O43" s="284">
        <v>35.049999999999997</v>
      </c>
      <c r="P43" s="255">
        <v>32.01</v>
      </c>
      <c r="Q43" s="260">
        <v>32.4</v>
      </c>
      <c r="R43" s="287">
        <v>32.21</v>
      </c>
      <c r="S43" s="170">
        <v>33.75</v>
      </c>
      <c r="T43" s="171">
        <v>31.09</v>
      </c>
      <c r="U43" s="170">
        <v>31.77</v>
      </c>
      <c r="V43" s="171">
        <v>37.56</v>
      </c>
      <c r="W43" s="172">
        <v>33.11</v>
      </c>
      <c r="X43" s="253">
        <v>28.0241458704443</v>
      </c>
      <c r="Y43" s="90" t="e">
        <f>10^((#REF!-C$2)/D$2)</f>
        <v>#REF!</v>
      </c>
      <c r="Z43" s="90" t="e">
        <f>10^((#REF!-C$3)/D$3)</f>
        <v>#REF!</v>
      </c>
      <c r="AA43" s="90" t="e">
        <f>10^((#REF!-C$5)/D$5)</f>
        <v>#REF!</v>
      </c>
      <c r="AB43" s="90" t="e">
        <f>10^((#REF!-C$6)/D$6)</f>
        <v>#REF!</v>
      </c>
      <c r="AC43" s="90" t="e">
        <f>10^((#REF!-C$4)/D$4)</f>
        <v>#REF!</v>
      </c>
      <c r="AD43" s="90">
        <f t="shared" si="0"/>
        <v>1.6971410620146492E-2</v>
      </c>
      <c r="AE43" s="90">
        <f t="shared" si="14"/>
        <v>1.8204247325983318</v>
      </c>
      <c r="AF43" s="90">
        <f t="shared" si="1"/>
        <v>2.494826234576613E-2</v>
      </c>
      <c r="AG43" s="90">
        <f t="shared" si="2"/>
        <v>3.6324703403058578E-3</v>
      </c>
      <c r="AH43" s="90">
        <f t="shared" si="3"/>
        <v>4.6098501306546264E-3</v>
      </c>
      <c r="AI43" s="72" t="e">
        <f t="shared" si="4"/>
        <v>#REF!</v>
      </c>
      <c r="AJ43" s="72" t="e">
        <f t="shared" si="5"/>
        <v>#REF!</v>
      </c>
      <c r="AK43" s="72" t="e">
        <f t="shared" si="6"/>
        <v>#REF!</v>
      </c>
      <c r="AL43" s="72" t="e">
        <f t="shared" si="7"/>
        <v>#REF!</v>
      </c>
      <c r="AM43" s="72" t="e">
        <f t="shared" si="8"/>
        <v>#REF!</v>
      </c>
      <c r="AN43" s="72">
        <f t="shared" si="9"/>
        <v>143380800.72183245</v>
      </c>
      <c r="AO43" s="72">
        <f t="shared" si="10"/>
        <v>12583330738.874144</v>
      </c>
      <c r="AP43" s="72">
        <f t="shared" si="11"/>
        <v>205075670.00573793</v>
      </c>
      <c r="AQ43" s="72">
        <f t="shared" si="12"/>
        <v>27166836.052312315</v>
      </c>
      <c r="AR43" s="72">
        <f t="shared" si="13"/>
        <v>43813948.053665027</v>
      </c>
    </row>
    <row r="44" spans="1:44" hidden="1" x14ac:dyDescent="0.25">
      <c r="A44" s="130" t="s">
        <v>23</v>
      </c>
      <c r="B44" s="190" t="s">
        <v>147</v>
      </c>
      <c r="C44" s="185" t="s">
        <v>145</v>
      </c>
      <c r="D44" s="272">
        <v>24.36</v>
      </c>
      <c r="E44" s="273">
        <v>23.61</v>
      </c>
      <c r="F44" s="280">
        <v>23.98</v>
      </c>
      <c r="G44" s="273">
        <v>23.18</v>
      </c>
      <c r="H44" s="275">
        <v>23.16</v>
      </c>
      <c r="I44" s="280">
        <v>23.17</v>
      </c>
      <c r="J44" s="273">
        <v>23.11</v>
      </c>
      <c r="K44" s="274">
        <v>23.05</v>
      </c>
      <c r="L44" s="283">
        <v>23.08</v>
      </c>
      <c r="M44" s="275">
        <v>27.61</v>
      </c>
      <c r="N44" s="274">
        <v>28.59</v>
      </c>
      <c r="O44" s="283">
        <v>28.1</v>
      </c>
      <c r="P44" s="274">
        <v>23.94</v>
      </c>
      <c r="Q44" s="273">
        <v>24.79</v>
      </c>
      <c r="R44" s="286">
        <v>24.37</v>
      </c>
      <c r="S44" s="165">
        <v>25.75</v>
      </c>
      <c r="T44" s="166">
        <v>24.29</v>
      </c>
      <c r="U44" s="165">
        <v>26.33</v>
      </c>
      <c r="V44" s="166">
        <v>23.32</v>
      </c>
      <c r="W44" s="167">
        <v>26.92</v>
      </c>
      <c r="X44" s="252">
        <v>35.734648168788453</v>
      </c>
      <c r="Y44" s="88" t="e">
        <f>10^((#REF!-C$2)/D$2)</f>
        <v>#REF!</v>
      </c>
      <c r="Z44" s="88" t="e">
        <f>10^((#REF!-C$3)/D$3)</f>
        <v>#REF!</v>
      </c>
      <c r="AA44" s="88" t="e">
        <f>10^((#REF!-C$5)/D$5)</f>
        <v>#REF!</v>
      </c>
      <c r="AB44" s="88" t="e">
        <f>10^((#REF!-C$6)/D$6)</f>
        <v>#REF!</v>
      </c>
      <c r="AC44" s="88" t="e">
        <f>10^((#REF!-C$4)/D$4)</f>
        <v>#REF!</v>
      </c>
      <c r="AD44" s="88">
        <f t="shared" si="0"/>
        <v>3.5972910260742759</v>
      </c>
      <c r="AE44" s="88">
        <f t="shared" si="14"/>
        <v>1.6168047475338594</v>
      </c>
      <c r="AF44" s="88">
        <f t="shared" si="1"/>
        <v>1.2879133646109504</v>
      </c>
      <c r="AG44" s="88">
        <f t="shared" si="2"/>
        <v>36.044095238305083</v>
      </c>
      <c r="AH44" s="88">
        <f t="shared" si="3"/>
        <v>0.37309970660280523</v>
      </c>
      <c r="AI44" s="70" t="e">
        <f t="shared" si="4"/>
        <v>#REF!</v>
      </c>
      <c r="AJ44" s="70" t="e">
        <f t="shared" si="5"/>
        <v>#REF!</v>
      </c>
      <c r="AK44" s="70" t="e">
        <f t="shared" si="6"/>
        <v>#REF!</v>
      </c>
      <c r="AL44" s="70" t="e">
        <f t="shared" si="7"/>
        <v>#REF!</v>
      </c>
      <c r="AM44" s="70" t="e">
        <f t="shared" si="8"/>
        <v>#REF!</v>
      </c>
      <c r="AN44" s="70">
        <f t="shared" si="9"/>
        <v>30391254993.01247</v>
      </c>
      <c r="AO44" s="70">
        <f t="shared" si="10"/>
        <v>11175847325.125002</v>
      </c>
      <c r="AP44" s="70">
        <f t="shared" si="11"/>
        <v>10586697081.200031</v>
      </c>
      <c r="AQ44" s="70">
        <f t="shared" si="12"/>
        <v>269569723702.2767</v>
      </c>
      <c r="AR44" s="70">
        <f t="shared" si="13"/>
        <v>3546096011.9351211</v>
      </c>
    </row>
    <row r="45" spans="1:44" hidden="1" x14ac:dyDescent="0.25">
      <c r="A45" s="136" t="s">
        <v>23</v>
      </c>
      <c r="B45" s="189" t="s">
        <v>147</v>
      </c>
      <c r="C45" t="s">
        <v>146</v>
      </c>
      <c r="D45" s="276">
        <v>16.739999999999998</v>
      </c>
      <c r="E45" s="260">
        <v>16.649999999999999</v>
      </c>
      <c r="F45" s="281">
        <v>16.7</v>
      </c>
      <c r="G45" s="260">
        <v>18.829999999999998</v>
      </c>
      <c r="H45" s="258">
        <v>19.149999999999999</v>
      </c>
      <c r="I45" s="281">
        <v>18.989999999999998</v>
      </c>
      <c r="J45" s="260">
        <v>20.07</v>
      </c>
      <c r="K45" s="255">
        <v>20.05</v>
      </c>
      <c r="L45" s="284">
        <v>20.059999999999999</v>
      </c>
      <c r="M45" s="258">
        <v>23.01</v>
      </c>
      <c r="N45" s="255">
        <v>23.04</v>
      </c>
      <c r="O45" s="284">
        <v>23.03</v>
      </c>
      <c r="P45" s="255">
        <v>22.2</v>
      </c>
      <c r="Q45" s="260">
        <v>22.19</v>
      </c>
      <c r="R45" s="287">
        <v>22.2</v>
      </c>
      <c r="S45" s="170">
        <v>24.35</v>
      </c>
      <c r="T45" s="171">
        <v>21.26</v>
      </c>
      <c r="U45" s="170">
        <v>22</v>
      </c>
      <c r="V45" s="171">
        <v>24.39</v>
      </c>
      <c r="W45" s="172">
        <v>20.64</v>
      </c>
      <c r="X45" s="253">
        <v>32.6644150521333</v>
      </c>
      <c r="Y45" s="89" t="e">
        <f>10^((#REF!-C$2)/D$2)</f>
        <v>#REF!</v>
      </c>
      <c r="Z45" s="89" t="e">
        <f>10^((#REF!-C$3)/D$3)</f>
        <v>#REF!</v>
      </c>
      <c r="AA45" s="89" t="e">
        <f>10^((#REF!-C$5)/D$5)</f>
        <v>#REF!</v>
      </c>
      <c r="AB45" s="89" t="e">
        <f>10^((#REF!-C$6)/D$6)</f>
        <v>#REF!</v>
      </c>
      <c r="AC45" s="89" t="e">
        <f>10^((#REF!-C$4)/D$4)</f>
        <v>#REF!</v>
      </c>
      <c r="AD45" s="89">
        <f t="shared" si="0"/>
        <v>9.1848202212095451</v>
      </c>
      <c r="AE45" s="89">
        <f t="shared" si="14"/>
        <v>1.5335679734759249</v>
      </c>
      <c r="AF45" s="89">
        <f t="shared" si="1"/>
        <v>29.732866152977564</v>
      </c>
      <c r="AG45" s="89">
        <f t="shared" si="2"/>
        <v>18.052003121450589</v>
      </c>
      <c r="AH45" s="89">
        <f t="shared" si="3"/>
        <v>32.188929607476872</v>
      </c>
      <c r="AI45" s="71" t="e">
        <f t="shared" si="4"/>
        <v>#REF!</v>
      </c>
      <c r="AJ45" s="71" t="e">
        <f t="shared" si="5"/>
        <v>#REF!</v>
      </c>
      <c r="AK45" s="71" t="e">
        <f t="shared" si="6"/>
        <v>#REF!</v>
      </c>
      <c r="AL45" s="71" t="e">
        <f t="shared" si="7"/>
        <v>#REF!</v>
      </c>
      <c r="AM45" s="71" t="e">
        <f t="shared" si="8"/>
        <v>#REF!</v>
      </c>
      <c r="AN45" s="71">
        <f t="shared" si="9"/>
        <v>77596783630.925751</v>
      </c>
      <c r="AO45" s="71">
        <f t="shared" si="10"/>
        <v>10600489366.703419</v>
      </c>
      <c r="AP45" s="71">
        <f t="shared" si="11"/>
        <v>244405296168.75632</v>
      </c>
      <c r="AQ45" s="71">
        <f t="shared" si="12"/>
        <v>135008895674.83292</v>
      </c>
      <c r="AR45" s="71">
        <f t="shared" si="13"/>
        <v>305937080328.6391</v>
      </c>
    </row>
    <row r="46" spans="1:44" hidden="1" x14ac:dyDescent="0.25">
      <c r="A46" s="140" t="s">
        <v>23</v>
      </c>
      <c r="B46" s="191" t="s">
        <v>147</v>
      </c>
      <c r="C46" s="188" t="s">
        <v>15</v>
      </c>
      <c r="D46" s="277">
        <v>27.79</v>
      </c>
      <c r="E46" s="257">
        <v>27.79</v>
      </c>
      <c r="F46" s="282">
        <v>27.79</v>
      </c>
      <c r="G46" s="257">
        <v>28.89</v>
      </c>
      <c r="H46" s="259">
        <v>29.16</v>
      </c>
      <c r="I46" s="282">
        <v>29.02</v>
      </c>
      <c r="J46" s="257">
        <v>31.03</v>
      </c>
      <c r="K46" s="256">
        <v>31.12</v>
      </c>
      <c r="L46" s="285">
        <v>31.07</v>
      </c>
      <c r="M46" s="259">
        <v>30.85</v>
      </c>
      <c r="N46" s="256">
        <v>31.56</v>
      </c>
      <c r="O46" s="285">
        <v>31.2</v>
      </c>
      <c r="P46" s="256">
        <v>28.02</v>
      </c>
      <c r="Q46" s="257">
        <v>28.17</v>
      </c>
      <c r="R46" s="288">
        <v>28.1</v>
      </c>
      <c r="S46" s="175">
        <v>32.39</v>
      </c>
      <c r="T46" s="176">
        <v>26.34</v>
      </c>
      <c r="U46" s="175">
        <v>27.88</v>
      </c>
      <c r="V46" s="176">
        <v>24.7</v>
      </c>
      <c r="W46" s="177">
        <v>29.95</v>
      </c>
      <c r="X46" s="254">
        <v>32.053874389731703</v>
      </c>
      <c r="Y46" s="90" t="e">
        <f>10^((#REF!-C$2)/D$2)</f>
        <v>#REF!</v>
      </c>
      <c r="Z46" s="90" t="e">
        <f>10^((#REF!-C$3)/D$3)</f>
        <v>#REF!</v>
      </c>
      <c r="AA46" s="90" t="e">
        <f>10^((#REF!-C$5)/D$5)</f>
        <v>#REF!</v>
      </c>
      <c r="AB46" s="90" t="e">
        <f>10^((#REF!-C$6)/D$6)</f>
        <v>#REF!</v>
      </c>
      <c r="AC46" s="90" t="e">
        <f>10^((#REF!-C$4)/D$4)</f>
        <v>#REF!</v>
      </c>
      <c r="AD46" s="90">
        <f t="shared" ref="AD46:AD67" si="15">10^((S46-C$7)/D$7)</f>
        <v>4.2187300736796433E-2</v>
      </c>
      <c r="AE46" s="90">
        <f t="shared" si="14"/>
        <v>1.6756676246197642</v>
      </c>
      <c r="AF46" s="90">
        <f t="shared" ref="AF46:AF67" si="16">10^((U46-C$9)/D$9)</f>
        <v>0.41865027940515454</v>
      </c>
      <c r="AG46" s="90">
        <f t="shared" ref="AG46:AG67" si="17">10^((V46-C$10)/D$10)</f>
        <v>14.774747493950191</v>
      </c>
      <c r="AH46" s="90">
        <f t="shared" ref="AH46:AH67" si="18">10^((W46-C$11)/D$11)</f>
        <v>4.3430301902201103E-2</v>
      </c>
      <c r="AI46" s="72" t="e">
        <f t="shared" ref="AI46:AI67" si="19">($G$2*Y46/G$4)/($E$2*G$3)</f>
        <v>#REF!</v>
      </c>
      <c r="AJ46" s="72" t="e">
        <f t="shared" ref="AJ46:AJ67" si="20">($G$2*Z46/$G$4)/($E$3*G$3)</f>
        <v>#REF!</v>
      </c>
      <c r="AK46" s="72" t="e">
        <f t="shared" ref="AK46:AK67" si="21">($G$2*AA46/$G$4)/($E$5*G$3)</f>
        <v>#REF!</v>
      </c>
      <c r="AL46" s="72" t="e">
        <f t="shared" ref="AL46:AL67" si="22">($G$2*AB46/$G$4)/($E$6*G$3)</f>
        <v>#REF!</v>
      </c>
      <c r="AM46" s="72" t="e">
        <f t="shared" ref="AM46:AM67" si="23">($G$2*AC46/$G$4)/($E$4*G$3)</f>
        <v>#REF!</v>
      </c>
      <c r="AN46" s="72">
        <f t="shared" ref="AN46:AN67" si="24">($G$2*AD46/$G$4)/($E$7*G$3)</f>
        <v>356414036.24717748</v>
      </c>
      <c r="AO46" s="72">
        <f t="shared" ref="AO46:AO67" si="25">($G$2*AE46/$G$4)/($E$8*G$3)</f>
        <v>11582725476.882711</v>
      </c>
      <c r="AP46" s="72">
        <f t="shared" ref="AP46:AP67" si="26">($G$2*AF46/$G$4)/($E$9*G$3)</f>
        <v>3441321297.54005</v>
      </c>
      <c r="AQ46" s="72">
        <f t="shared" ref="AQ46:AQ67" si="27">($G$2*AG46/$G$4)/($E$10*G$3)</f>
        <v>110498670403.08997</v>
      </c>
      <c r="AR46" s="72">
        <f t="shared" ref="AR46:AR67" si="28">($G$2*AH46/$G$4)/($E$11*G$3)</f>
        <v>412779794.91012466</v>
      </c>
    </row>
    <row r="47" spans="1:44" hidden="1" x14ac:dyDescent="0.25">
      <c r="A47" s="136" t="s">
        <v>23</v>
      </c>
      <c r="B47" s="189" t="s">
        <v>147</v>
      </c>
      <c r="C47" t="s">
        <v>145</v>
      </c>
      <c r="D47" s="276">
        <v>26.34</v>
      </c>
      <c r="E47" s="260">
        <v>26.76</v>
      </c>
      <c r="F47" s="281">
        <v>26.55</v>
      </c>
      <c r="G47" s="260">
        <v>29.08</v>
      </c>
      <c r="H47" s="258">
        <v>28.74</v>
      </c>
      <c r="I47" s="281">
        <v>28.91</v>
      </c>
      <c r="J47" s="260">
        <v>28.49</v>
      </c>
      <c r="K47" s="255">
        <v>28.2</v>
      </c>
      <c r="L47" s="284">
        <v>28.35</v>
      </c>
      <c r="M47" s="258">
        <v>25.85</v>
      </c>
      <c r="N47" s="255">
        <v>25.06</v>
      </c>
      <c r="O47" s="284">
        <v>25.46</v>
      </c>
      <c r="P47" s="255">
        <v>25.66</v>
      </c>
      <c r="Q47" s="260">
        <v>26.23</v>
      </c>
      <c r="R47" s="287">
        <v>25.95</v>
      </c>
      <c r="S47" s="170">
        <v>31.09</v>
      </c>
      <c r="T47" s="171">
        <v>22.06</v>
      </c>
      <c r="U47" s="170">
        <v>23.52</v>
      </c>
      <c r="V47" s="171">
        <v>23.34</v>
      </c>
      <c r="W47" s="172">
        <v>29.07</v>
      </c>
      <c r="X47" s="253">
        <v>30.938138817790801</v>
      </c>
      <c r="Y47" s="88" t="e">
        <f>10^((#REF!-C$2)/D$2)</f>
        <v>#REF!</v>
      </c>
      <c r="Z47" s="88" t="e">
        <f>10^((#REF!-C$3)/D$3)</f>
        <v>#REF!</v>
      </c>
      <c r="AA47" s="88" t="e">
        <f>10^((#REF!-C$5)/D$5)</f>
        <v>#REF!</v>
      </c>
      <c r="AB47" s="88" t="e">
        <f>10^((#REF!-C$6)/D$6)</f>
        <v>#REF!</v>
      </c>
      <c r="AC47" s="88" t="e">
        <f>10^((#REF!-C$4)/D$4)</f>
        <v>#REF!</v>
      </c>
      <c r="AD47" s="88">
        <f t="shared" si="15"/>
        <v>0.10073922472048316</v>
      </c>
      <c r="AE47" s="88">
        <f t="shared" ref="AE47:AE67" si="29">10^((T47-D$8)/E$8)</f>
        <v>1.5551190317787322</v>
      </c>
      <c r="AF47" s="88">
        <f t="shared" si="16"/>
        <v>9.8775072054664648</v>
      </c>
      <c r="AG47" s="88">
        <f t="shared" si="17"/>
        <v>35.581223792951178</v>
      </c>
      <c r="AH47" s="88">
        <f t="shared" si="18"/>
        <v>8.1107849255680334E-2</v>
      </c>
      <c r="AI47" s="70" t="e">
        <f t="shared" si="19"/>
        <v>#REF!</v>
      </c>
      <c r="AJ47" s="70" t="e">
        <f t="shared" si="20"/>
        <v>#REF!</v>
      </c>
      <c r="AK47" s="70" t="e">
        <f t="shared" si="21"/>
        <v>#REF!</v>
      </c>
      <c r="AL47" s="70" t="e">
        <f t="shared" si="22"/>
        <v>#REF!</v>
      </c>
      <c r="AM47" s="70" t="e">
        <f t="shared" si="23"/>
        <v>#REF!</v>
      </c>
      <c r="AN47" s="70">
        <f t="shared" si="24"/>
        <v>851082507.38881814</v>
      </c>
      <c r="AO47" s="70">
        <f t="shared" si="25"/>
        <v>10749456851.895689</v>
      </c>
      <c r="AP47" s="70">
        <f t="shared" si="26"/>
        <v>81193486747.637253</v>
      </c>
      <c r="AQ47" s="70">
        <f t="shared" si="27"/>
        <v>266107960359.10577</v>
      </c>
      <c r="AR47" s="70">
        <f t="shared" si="28"/>
        <v>770882999.08097684</v>
      </c>
    </row>
    <row r="48" spans="1:44" hidden="1" x14ac:dyDescent="0.25">
      <c r="A48" s="136" t="s">
        <v>23</v>
      </c>
      <c r="B48" s="189" t="s">
        <v>147</v>
      </c>
      <c r="C48" t="s">
        <v>146</v>
      </c>
      <c r="D48" s="276">
        <v>18.46</v>
      </c>
      <c r="E48" s="260">
        <v>18.52</v>
      </c>
      <c r="F48" s="281">
        <v>18.489999999999998</v>
      </c>
      <c r="G48" s="260">
        <v>18.14</v>
      </c>
      <c r="H48" s="258">
        <v>18.420000000000002</v>
      </c>
      <c r="I48" s="281">
        <v>18.28</v>
      </c>
      <c r="J48" s="260">
        <v>18.579999999999998</v>
      </c>
      <c r="K48" s="255">
        <v>18.88</v>
      </c>
      <c r="L48" s="284">
        <v>18.73</v>
      </c>
      <c r="M48" s="258">
        <v>21.11</v>
      </c>
      <c r="N48" s="255">
        <v>21.27</v>
      </c>
      <c r="O48" s="284">
        <v>21.19</v>
      </c>
      <c r="P48" s="255">
        <v>20.64</v>
      </c>
      <c r="Q48" s="260">
        <v>20.64</v>
      </c>
      <c r="R48" s="287">
        <v>20.64</v>
      </c>
      <c r="S48" s="170">
        <v>23.5</v>
      </c>
      <c r="T48" s="171">
        <v>20.43</v>
      </c>
      <c r="U48" s="170">
        <v>20.2</v>
      </c>
      <c r="V48" s="171">
        <v>24.24</v>
      </c>
      <c r="W48" s="172">
        <v>21.51</v>
      </c>
      <c r="X48" s="253">
        <v>30.282113729409801</v>
      </c>
      <c r="Y48" s="89" t="e">
        <f>10^((#REF!-C$2)/D$2)</f>
        <v>#REF!</v>
      </c>
      <c r="Z48" s="89" t="e">
        <f>10^((#REF!-C$3)/D$3)</f>
        <v>#REF!</v>
      </c>
      <c r="AA48" s="89" t="e">
        <f>10^((#REF!-C$5)/D$5)</f>
        <v>#REF!</v>
      </c>
      <c r="AB48" s="89" t="e">
        <f>10^((#REF!-C$6)/D$6)</f>
        <v>#REF!</v>
      </c>
      <c r="AC48" s="89" t="e">
        <f>10^((#REF!-C$4)/D$4)</f>
        <v>#REF!</v>
      </c>
      <c r="AD48" s="89">
        <f t="shared" si="15"/>
        <v>16.226899021119696</v>
      </c>
      <c r="AE48" s="89">
        <f t="shared" si="29"/>
        <v>1.511524362702495</v>
      </c>
      <c r="AF48" s="89">
        <f t="shared" si="16"/>
        <v>109.64463989424142</v>
      </c>
      <c r="AG48" s="89">
        <f t="shared" si="17"/>
        <v>19.889540706530113</v>
      </c>
      <c r="AH48" s="89">
        <f t="shared" si="18"/>
        <v>17.35877652797355</v>
      </c>
      <c r="AI48" s="71" t="e">
        <f t="shared" si="19"/>
        <v>#REF!</v>
      </c>
      <c r="AJ48" s="71" t="e">
        <f t="shared" si="20"/>
        <v>#REF!</v>
      </c>
      <c r="AK48" s="71" t="e">
        <f t="shared" si="21"/>
        <v>#REF!</v>
      </c>
      <c r="AL48" s="71" t="e">
        <f t="shared" si="22"/>
        <v>#REF!</v>
      </c>
      <c r="AM48" s="71" t="e">
        <f t="shared" si="23"/>
        <v>#REF!</v>
      </c>
      <c r="AN48" s="71">
        <f t="shared" si="24"/>
        <v>137090889317.03535</v>
      </c>
      <c r="AO48" s="71">
        <f t="shared" si="25"/>
        <v>10448117208.671288</v>
      </c>
      <c r="AP48" s="71">
        <f t="shared" si="26"/>
        <v>901283130552.9917</v>
      </c>
      <c r="AQ48" s="71">
        <f t="shared" si="27"/>
        <v>148751632060.01532</v>
      </c>
      <c r="AR48" s="71">
        <f t="shared" si="28"/>
        <v>164985088780.70822</v>
      </c>
    </row>
    <row r="49" spans="1:44" hidden="1" x14ac:dyDescent="0.25">
      <c r="A49" s="136" t="s">
        <v>23</v>
      </c>
      <c r="B49" s="189" t="s">
        <v>147</v>
      </c>
      <c r="C49" t="s">
        <v>15</v>
      </c>
      <c r="D49" s="276">
        <v>25.85</v>
      </c>
      <c r="E49" s="260">
        <v>25.93</v>
      </c>
      <c r="F49" s="281">
        <v>25.89</v>
      </c>
      <c r="G49" s="260">
        <v>25.78</v>
      </c>
      <c r="H49" s="258">
        <v>26.12</v>
      </c>
      <c r="I49" s="281">
        <v>25.95</v>
      </c>
      <c r="J49" s="260">
        <v>26.38</v>
      </c>
      <c r="K49" s="255">
        <v>26.33</v>
      </c>
      <c r="L49" s="284">
        <v>26.35</v>
      </c>
      <c r="M49" s="258">
        <v>29.28</v>
      </c>
      <c r="N49" s="255">
        <v>29.44</v>
      </c>
      <c r="O49" s="284">
        <v>29.36</v>
      </c>
      <c r="P49" s="255">
        <v>25.58</v>
      </c>
      <c r="Q49" s="260">
        <v>26.04</v>
      </c>
      <c r="R49" s="287">
        <v>25.81</v>
      </c>
      <c r="S49" s="170">
        <v>30.41</v>
      </c>
      <c r="T49" s="171">
        <v>26.42</v>
      </c>
      <c r="U49" s="170">
        <v>26.12</v>
      </c>
      <c r="V49" s="171">
        <v>33.19</v>
      </c>
      <c r="W49" s="172">
        <v>30.1</v>
      </c>
      <c r="X49" s="253">
        <v>27.464091221762299</v>
      </c>
      <c r="Y49" s="90" t="e">
        <f>10^((#REF!-C$2)/D$2)</f>
        <v>#REF!</v>
      </c>
      <c r="Z49" s="90" t="e">
        <f>10^((#REF!-C$3)/D$3)</f>
        <v>#REF!</v>
      </c>
      <c r="AA49" s="90" t="e">
        <f>10^((#REF!-C$5)/D$5)</f>
        <v>#REF!</v>
      </c>
      <c r="AB49" s="90" t="e">
        <f>10^((#REF!-C$6)/D$6)</f>
        <v>#REF!</v>
      </c>
      <c r="AC49" s="90" t="e">
        <f>10^((#REF!-C$4)/D$4)</f>
        <v>#REF!</v>
      </c>
      <c r="AD49" s="90">
        <f t="shared" si="15"/>
        <v>0.15882925655014096</v>
      </c>
      <c r="AE49" s="90">
        <f t="shared" si="29"/>
        <v>1.6780076614280066</v>
      </c>
      <c r="AF49" s="90">
        <f t="shared" si="16"/>
        <v>1.4997109300765936</v>
      </c>
      <c r="AG49" s="90">
        <f t="shared" si="17"/>
        <v>6.1192275610631952E-2</v>
      </c>
      <c r="AH49" s="90">
        <f t="shared" si="18"/>
        <v>3.904394006983844E-2</v>
      </c>
      <c r="AI49" s="72" t="e">
        <f t="shared" si="19"/>
        <v>#REF!</v>
      </c>
      <c r="AJ49" s="72" t="e">
        <f t="shared" si="20"/>
        <v>#REF!</v>
      </c>
      <c r="AK49" s="72" t="e">
        <f t="shared" si="21"/>
        <v>#REF!</v>
      </c>
      <c r="AL49" s="72" t="e">
        <f t="shared" si="22"/>
        <v>#REF!</v>
      </c>
      <c r="AM49" s="72" t="e">
        <f t="shared" si="23"/>
        <v>#REF!</v>
      </c>
      <c r="AN49" s="72">
        <f t="shared" si="24"/>
        <v>1341848741.5052595</v>
      </c>
      <c r="AO49" s="72">
        <f t="shared" si="25"/>
        <v>11598900524.700935</v>
      </c>
      <c r="AP49" s="72">
        <f t="shared" si="26"/>
        <v>12327681164.238665</v>
      </c>
      <c r="AQ49" s="72">
        <f t="shared" si="27"/>
        <v>457650128.82169104</v>
      </c>
      <c r="AR49" s="72">
        <f t="shared" si="28"/>
        <v>371089973.32791519</v>
      </c>
    </row>
    <row r="50" spans="1:44" x14ac:dyDescent="0.25">
      <c r="A50" s="178" t="s">
        <v>33</v>
      </c>
      <c r="B50" s="184" t="s">
        <v>144</v>
      </c>
      <c r="C50" s="185" t="s">
        <v>145</v>
      </c>
      <c r="D50" s="272">
        <v>22.1</v>
      </c>
      <c r="E50" s="273">
        <v>22.11</v>
      </c>
      <c r="F50" s="280">
        <v>22.1</v>
      </c>
      <c r="G50" s="273">
        <v>22.36</v>
      </c>
      <c r="H50" s="275">
        <v>22.93</v>
      </c>
      <c r="I50" s="280">
        <v>22.65</v>
      </c>
      <c r="J50" s="273">
        <v>21.88</v>
      </c>
      <c r="K50" s="274">
        <v>22.11</v>
      </c>
      <c r="L50" s="283">
        <v>22</v>
      </c>
      <c r="M50" s="275">
        <v>25.5</v>
      </c>
      <c r="N50" s="274">
        <v>25.53</v>
      </c>
      <c r="O50" s="283">
        <v>25.52</v>
      </c>
      <c r="P50" s="274">
        <v>20.77</v>
      </c>
      <c r="Q50" s="273">
        <v>20.91</v>
      </c>
      <c r="R50" s="286">
        <v>20.84</v>
      </c>
      <c r="S50" s="165">
        <v>26.2</v>
      </c>
      <c r="T50" s="166">
        <v>23.76</v>
      </c>
      <c r="U50" s="165">
        <v>24.09</v>
      </c>
      <c r="V50" s="166">
        <v>28.84</v>
      </c>
      <c r="W50" s="167">
        <v>25.05</v>
      </c>
      <c r="X50" s="252">
        <v>26.737139148789652</v>
      </c>
      <c r="Y50" s="88" t="e">
        <f>10^((#REF!-C$2)/D$2)</f>
        <v>#REF!</v>
      </c>
      <c r="Z50" s="88" t="e">
        <f>10^((#REF!-C$3)/D$3)</f>
        <v>#REF!</v>
      </c>
      <c r="AA50" s="88" t="e">
        <f>10^((#REF!-C$5)/D$5)</f>
        <v>#REF!</v>
      </c>
      <c r="AB50" s="88" t="e">
        <f>10^((#REF!-C$6)/D$6)</f>
        <v>#REF!</v>
      </c>
      <c r="AC50" s="88" t="e">
        <f>10^((#REF!-C$4)/D$4)</f>
        <v>#REF!</v>
      </c>
      <c r="AD50" s="88">
        <f t="shared" si="15"/>
        <v>2.6614823009998045</v>
      </c>
      <c r="AE50" s="88">
        <f t="shared" si="29"/>
        <v>1.6019259041009795</v>
      </c>
      <c r="AF50" s="88">
        <f t="shared" si="16"/>
        <v>6.5339577577143508</v>
      </c>
      <c r="AG50" s="88">
        <f t="shared" si="17"/>
        <v>1.0176018405184151</v>
      </c>
      <c r="AH50" s="88">
        <f t="shared" si="18"/>
        <v>1.4069340362636564</v>
      </c>
      <c r="AI50" s="70" t="e">
        <f t="shared" si="19"/>
        <v>#REF!</v>
      </c>
      <c r="AJ50" s="70" t="e">
        <f t="shared" si="20"/>
        <v>#REF!</v>
      </c>
      <c r="AK50" s="70" t="e">
        <f t="shared" si="21"/>
        <v>#REF!</v>
      </c>
      <c r="AL50" s="70" t="e">
        <f t="shared" si="22"/>
        <v>#REF!</v>
      </c>
      <c r="AM50" s="70" t="e">
        <f t="shared" si="23"/>
        <v>#REF!</v>
      </c>
      <c r="AN50" s="70">
        <f t="shared" si="24"/>
        <v>22485194187.178482</v>
      </c>
      <c r="AO50" s="70">
        <f t="shared" si="25"/>
        <v>11073000223.250801</v>
      </c>
      <c r="AP50" s="70">
        <f t="shared" si="26"/>
        <v>53709382496.527191</v>
      </c>
      <c r="AQ50" s="70">
        <f t="shared" si="27"/>
        <v>7610529413.3158159</v>
      </c>
      <c r="AR50" s="70">
        <f t="shared" si="28"/>
        <v>13372090856.028627</v>
      </c>
    </row>
    <row r="51" spans="1:44" x14ac:dyDescent="0.25">
      <c r="A51" s="179" t="s">
        <v>33</v>
      </c>
      <c r="B51" s="186" t="s">
        <v>144</v>
      </c>
      <c r="C51" t="s">
        <v>146</v>
      </c>
      <c r="D51" s="276">
        <v>17.2</v>
      </c>
      <c r="E51" s="260">
        <v>16.850000000000001</v>
      </c>
      <c r="F51" s="281">
        <v>17.03</v>
      </c>
      <c r="G51" s="260">
        <v>20.399999999999999</v>
      </c>
      <c r="H51" s="258">
        <v>20.82</v>
      </c>
      <c r="I51" s="281">
        <v>20.61</v>
      </c>
      <c r="J51" s="260">
        <v>19.04</v>
      </c>
      <c r="K51" s="255">
        <v>18.899999999999999</v>
      </c>
      <c r="L51" s="284">
        <v>18.97</v>
      </c>
      <c r="M51" s="258">
        <v>22.03</v>
      </c>
      <c r="N51" s="255">
        <v>22.21</v>
      </c>
      <c r="O51" s="284">
        <v>22.12</v>
      </c>
      <c r="P51" s="255">
        <v>20.38</v>
      </c>
      <c r="Q51" s="260">
        <v>20.34</v>
      </c>
      <c r="R51" s="287">
        <v>20.36</v>
      </c>
      <c r="S51" s="170">
        <v>22.84</v>
      </c>
      <c r="T51" s="171">
        <v>21.44</v>
      </c>
      <c r="U51" s="170">
        <v>20.97</v>
      </c>
      <c r="V51" s="171">
        <v>22.06</v>
      </c>
      <c r="W51" s="172">
        <v>20.420000000000002</v>
      </c>
      <c r="X51" s="253">
        <v>24.166419827833149</v>
      </c>
      <c r="Y51" s="89" t="e">
        <f>10^((#REF!-C$2)/D$2)</f>
        <v>#REF!</v>
      </c>
      <c r="Z51" s="89" t="e">
        <f>10^((#REF!-C$3)/D$3)</f>
        <v>#REF!</v>
      </c>
      <c r="AA51" s="89" t="e">
        <f>10^((#REF!-C$5)/D$5)</f>
        <v>#REF!</v>
      </c>
      <c r="AB51" s="89" t="e">
        <f>10^((#REF!-C$6)/D$6)</f>
        <v>#REF!</v>
      </c>
      <c r="AC51" s="89" t="e">
        <f>10^((#REF!-C$4)/D$4)</f>
        <v>#REF!</v>
      </c>
      <c r="AD51" s="89">
        <f t="shared" si="15"/>
        <v>25.243628970373805</v>
      </c>
      <c r="AE51" s="89">
        <f t="shared" si="29"/>
        <v>1.5383907738895257</v>
      </c>
      <c r="AF51" s="89">
        <f t="shared" si="16"/>
        <v>62.73993733765041</v>
      </c>
      <c r="AG51" s="89">
        <f t="shared" si="17"/>
        <v>81.370822548751093</v>
      </c>
      <c r="AH51" s="89">
        <f t="shared" si="18"/>
        <v>37.629118477148708</v>
      </c>
      <c r="AI51" s="71" t="e">
        <f t="shared" si="19"/>
        <v>#REF!</v>
      </c>
      <c r="AJ51" s="71" t="e">
        <f t="shared" si="20"/>
        <v>#REF!</v>
      </c>
      <c r="AK51" s="71" t="e">
        <f t="shared" si="21"/>
        <v>#REF!</v>
      </c>
      <c r="AL51" s="71" t="e">
        <f t="shared" si="22"/>
        <v>#REF!</v>
      </c>
      <c r="AM51" s="71" t="e">
        <f t="shared" si="23"/>
        <v>#REF!</v>
      </c>
      <c r="AN51" s="71">
        <f t="shared" si="24"/>
        <v>213267583697.51831</v>
      </c>
      <c r="AO51" s="71">
        <f t="shared" si="25"/>
        <v>10633826033.474199</v>
      </c>
      <c r="AP51" s="71">
        <f t="shared" si="26"/>
        <v>515724682838.28925</v>
      </c>
      <c r="AQ51" s="71">
        <f t="shared" si="27"/>
        <v>608563205897.39075</v>
      </c>
      <c r="AR51" s="71">
        <f t="shared" si="28"/>
        <v>357642915829.21326</v>
      </c>
    </row>
    <row r="52" spans="1:44" x14ac:dyDescent="0.25">
      <c r="A52" s="179" t="s">
        <v>33</v>
      </c>
      <c r="B52" s="186" t="s">
        <v>144</v>
      </c>
      <c r="C52" t="s">
        <v>15</v>
      </c>
      <c r="D52" s="276">
        <v>23.64</v>
      </c>
      <c r="E52" s="260">
        <v>24</v>
      </c>
      <c r="F52" s="281">
        <v>23.82</v>
      </c>
      <c r="G52" s="260">
        <v>25.83</v>
      </c>
      <c r="H52" s="258">
        <v>26.05</v>
      </c>
      <c r="I52" s="281">
        <v>25.94</v>
      </c>
      <c r="J52" s="260">
        <v>26.32</v>
      </c>
      <c r="K52" s="255">
        <v>26.55</v>
      </c>
      <c r="L52" s="284">
        <v>26.44</v>
      </c>
      <c r="M52" s="258">
        <v>28.32</v>
      </c>
      <c r="N52" s="255">
        <v>28.78</v>
      </c>
      <c r="O52" s="284">
        <v>28.55</v>
      </c>
      <c r="P52" s="255">
        <v>23.96</v>
      </c>
      <c r="Q52" s="260">
        <v>23.68</v>
      </c>
      <c r="R52" s="287">
        <v>23.82</v>
      </c>
      <c r="S52" s="170">
        <v>29.64</v>
      </c>
      <c r="T52" s="171">
        <v>25.71</v>
      </c>
      <c r="U52" s="170">
        <v>25.74</v>
      </c>
      <c r="V52" s="171">
        <v>31.02</v>
      </c>
      <c r="W52" s="172">
        <v>27.71</v>
      </c>
      <c r="X52" s="253">
        <v>22.518646106008902</v>
      </c>
      <c r="Y52" s="90" t="e">
        <f>10^((#REF!-C$2)/D$2)</f>
        <v>#REF!</v>
      </c>
      <c r="Z52" s="90" t="e">
        <f>10^((#REF!-C$3)/D$3)</f>
        <v>#REF!</v>
      </c>
      <c r="AA52" s="90" t="e">
        <f>10^((#REF!-C$5)/D$5)</f>
        <v>#REF!</v>
      </c>
      <c r="AB52" s="90" t="e">
        <f>10^((#REF!-C$6)/D$6)</f>
        <v>#REF!</v>
      </c>
      <c r="AC52" s="90" t="e">
        <f>10^((#REF!-C$4)/D$4)</f>
        <v>#REF!</v>
      </c>
      <c r="AD52" s="90">
        <f t="shared" si="15"/>
        <v>0.26597008999155058</v>
      </c>
      <c r="AE52" s="90">
        <f t="shared" si="29"/>
        <v>1.6573535066425091</v>
      </c>
      <c r="AF52" s="90">
        <f t="shared" si="16"/>
        <v>1.9753993741510643</v>
      </c>
      <c r="AG52" s="90">
        <f t="shared" si="17"/>
        <v>0.24873330016917258</v>
      </c>
      <c r="AH52" s="90">
        <f t="shared" si="18"/>
        <v>0.21296017599469377</v>
      </c>
      <c r="AI52" s="72" t="e">
        <f t="shared" si="19"/>
        <v>#REF!</v>
      </c>
      <c r="AJ52" s="72" t="e">
        <f t="shared" si="20"/>
        <v>#REF!</v>
      </c>
      <c r="AK52" s="72" t="e">
        <f t="shared" si="21"/>
        <v>#REF!</v>
      </c>
      <c r="AL52" s="72" t="e">
        <f t="shared" si="22"/>
        <v>#REF!</v>
      </c>
      <c r="AM52" s="72" t="e">
        <f t="shared" si="23"/>
        <v>#REF!</v>
      </c>
      <c r="AN52" s="72">
        <f t="shared" si="24"/>
        <v>2247014424.7041492</v>
      </c>
      <c r="AO52" s="72">
        <f t="shared" si="25"/>
        <v>11456132710.056461</v>
      </c>
      <c r="AP52" s="72">
        <f t="shared" si="26"/>
        <v>16237858355.361326</v>
      </c>
      <c r="AQ52" s="72">
        <f t="shared" si="27"/>
        <v>1860248303.0535982</v>
      </c>
      <c r="AR52" s="72">
        <f t="shared" si="28"/>
        <v>2024062783.8384562</v>
      </c>
    </row>
    <row r="53" spans="1:44" x14ac:dyDescent="0.25">
      <c r="A53" s="178" t="s">
        <v>33</v>
      </c>
      <c r="B53" s="184" t="s">
        <v>144</v>
      </c>
      <c r="C53" s="185" t="s">
        <v>145</v>
      </c>
      <c r="D53" s="272">
        <v>26.51</v>
      </c>
      <c r="E53" s="273">
        <v>26.75</v>
      </c>
      <c r="F53" s="280">
        <v>26.63</v>
      </c>
      <c r="G53" s="273">
        <v>20.49</v>
      </c>
      <c r="H53" s="275">
        <v>20.88</v>
      </c>
      <c r="I53" s="280">
        <v>20.69</v>
      </c>
      <c r="J53" s="273">
        <v>20.16</v>
      </c>
      <c r="K53" s="274">
        <v>20.399999999999999</v>
      </c>
      <c r="L53" s="283">
        <v>20.28</v>
      </c>
      <c r="M53" s="275">
        <v>22.28</v>
      </c>
      <c r="N53" s="274">
        <v>22.51</v>
      </c>
      <c r="O53" s="283">
        <v>22.4</v>
      </c>
      <c r="P53" s="274">
        <v>19.079999999999998</v>
      </c>
      <c r="Q53" s="273">
        <v>18.91</v>
      </c>
      <c r="R53" s="286">
        <v>18.989999999999998</v>
      </c>
      <c r="S53" s="165">
        <v>21.53</v>
      </c>
      <c r="T53" s="166">
        <v>21.57</v>
      </c>
      <c r="U53" s="165">
        <v>20.49</v>
      </c>
      <c r="V53" s="166">
        <v>20.3</v>
      </c>
      <c r="W53" s="167">
        <v>23.45</v>
      </c>
      <c r="X53" s="252">
        <v>29.076523731196399</v>
      </c>
      <c r="Y53" s="88" t="e">
        <f>10^((#REF!-C$2)/D$2)</f>
        <v>#REF!</v>
      </c>
      <c r="Z53" s="88" t="e">
        <f>10^((#REF!-C$3)/D$3)</f>
        <v>#REF!</v>
      </c>
      <c r="AA53" s="88" t="e">
        <f>10^((#REF!-C$5)/D$5)</f>
        <v>#REF!</v>
      </c>
      <c r="AB53" s="88" t="e">
        <f>10^((#REF!-C$6)/D$6)</f>
        <v>#REF!</v>
      </c>
      <c r="AC53" s="88" t="e">
        <f>10^((#REF!-C$4)/D$4)</f>
        <v>#REF!</v>
      </c>
      <c r="AD53" s="88">
        <f t="shared" si="15"/>
        <v>60.684318032002906</v>
      </c>
      <c r="AE53" s="88">
        <f t="shared" si="29"/>
        <v>1.5418833372511047</v>
      </c>
      <c r="AF53" s="88">
        <f t="shared" si="16"/>
        <v>88.854122420305615</v>
      </c>
      <c r="AG53" s="88">
        <f t="shared" si="17"/>
        <v>253.76660254612801</v>
      </c>
      <c r="AH53" s="88">
        <f t="shared" si="18"/>
        <v>4.3801802758211421</v>
      </c>
      <c r="AI53" s="70" t="e">
        <f t="shared" si="19"/>
        <v>#REF!</v>
      </c>
      <c r="AJ53" s="70" t="e">
        <f t="shared" si="20"/>
        <v>#REF!</v>
      </c>
      <c r="AK53" s="70" t="e">
        <f t="shared" si="21"/>
        <v>#REF!</v>
      </c>
      <c r="AL53" s="70" t="e">
        <f t="shared" si="22"/>
        <v>#REF!</v>
      </c>
      <c r="AM53" s="70" t="e">
        <f t="shared" si="23"/>
        <v>#REF!</v>
      </c>
      <c r="AN53" s="70">
        <f t="shared" si="24"/>
        <v>512683730623.90784</v>
      </c>
      <c r="AO53" s="70">
        <f t="shared" si="25"/>
        <v>10657967696.196226</v>
      </c>
      <c r="AP53" s="70">
        <f t="shared" si="26"/>
        <v>730384282302.86694</v>
      </c>
      <c r="AQ53" s="70">
        <f t="shared" si="27"/>
        <v>1897891803940.366</v>
      </c>
      <c r="AR53" s="70">
        <f t="shared" si="28"/>
        <v>41631069477.58036</v>
      </c>
    </row>
    <row r="54" spans="1:44" x14ac:dyDescent="0.25">
      <c r="A54" s="179" t="s">
        <v>33</v>
      </c>
      <c r="B54" s="186" t="s">
        <v>144</v>
      </c>
      <c r="C54" t="s">
        <v>146</v>
      </c>
      <c r="D54" s="276">
        <v>17.350000000000001</v>
      </c>
      <c r="E54" s="260">
        <v>17.8</v>
      </c>
      <c r="F54" s="281">
        <v>17.57</v>
      </c>
      <c r="G54" s="260">
        <v>15.87</v>
      </c>
      <c r="H54" s="258">
        <v>16.760000000000002</v>
      </c>
      <c r="I54" s="281">
        <v>16.32</v>
      </c>
      <c r="J54" s="260">
        <v>17.079999999999998</v>
      </c>
      <c r="K54" s="255">
        <v>18.61</v>
      </c>
      <c r="L54" s="284">
        <v>17.850000000000001</v>
      </c>
      <c r="M54" s="258">
        <v>19.93</v>
      </c>
      <c r="N54" s="255">
        <v>19.64</v>
      </c>
      <c r="O54" s="284">
        <v>19.78</v>
      </c>
      <c r="P54" s="255">
        <v>18.59</v>
      </c>
      <c r="Q54" s="260">
        <v>18.32</v>
      </c>
      <c r="R54" s="287">
        <v>18.46</v>
      </c>
      <c r="S54" s="170">
        <v>20.05</v>
      </c>
      <c r="T54" s="171">
        <v>20.57</v>
      </c>
      <c r="U54" s="170">
        <v>20.62</v>
      </c>
      <c r="V54" s="171">
        <v>18.43</v>
      </c>
      <c r="W54" s="172">
        <v>18.18</v>
      </c>
      <c r="X54" s="253">
        <v>20.223318070516498</v>
      </c>
      <c r="Y54" s="89" t="e">
        <f>10^((#REF!-C$2)/D$2)</f>
        <v>#REF!</v>
      </c>
      <c r="Z54" s="89" t="e">
        <f>10^((#REF!-C$3)/D$3)</f>
        <v>#REF!</v>
      </c>
      <c r="AA54" s="89" t="e">
        <f>10^((#REF!-C$5)/D$5)</f>
        <v>#REF!</v>
      </c>
      <c r="AB54" s="89" t="e">
        <f>10^((#REF!-C$6)/D$6)</f>
        <v>#REF!</v>
      </c>
      <c r="AC54" s="89" t="e">
        <f>10^((#REF!-C$4)/D$4)</f>
        <v>#REF!</v>
      </c>
      <c r="AD54" s="89">
        <f t="shared" si="15"/>
        <v>163.46852270051656</v>
      </c>
      <c r="AE54" s="89">
        <f t="shared" si="29"/>
        <v>1.5152202213745218</v>
      </c>
      <c r="AF54" s="89">
        <f t="shared" si="16"/>
        <v>80.862207266554492</v>
      </c>
      <c r="AG54" s="89">
        <f t="shared" si="17"/>
        <v>849.71460784626356</v>
      </c>
      <c r="AH54" s="89">
        <f t="shared" si="18"/>
        <v>184.51411439561394</v>
      </c>
      <c r="AI54" s="71" t="e">
        <f t="shared" si="19"/>
        <v>#REF!</v>
      </c>
      <c r="AJ54" s="71" t="e">
        <f t="shared" si="20"/>
        <v>#REF!</v>
      </c>
      <c r="AK54" s="71" t="e">
        <f t="shared" si="21"/>
        <v>#REF!</v>
      </c>
      <c r="AL54" s="71" t="e">
        <f t="shared" si="22"/>
        <v>#REF!</v>
      </c>
      <c r="AM54" s="71" t="e">
        <f t="shared" si="23"/>
        <v>#REF!</v>
      </c>
      <c r="AN54" s="71">
        <f t="shared" si="24"/>
        <v>1381042990603.9712</v>
      </c>
      <c r="AO54" s="71">
        <f t="shared" si="25"/>
        <v>10473664110.557129</v>
      </c>
      <c r="AP54" s="71">
        <f t="shared" si="26"/>
        <v>664690434287.73022</v>
      </c>
      <c r="AQ54" s="71">
        <f t="shared" si="27"/>
        <v>6354919732302.7803</v>
      </c>
      <c r="AR54" s="71">
        <f t="shared" si="28"/>
        <v>1753699490041.6465</v>
      </c>
    </row>
    <row r="55" spans="1:44" x14ac:dyDescent="0.25">
      <c r="A55" s="180" t="s">
        <v>33</v>
      </c>
      <c r="B55" s="187" t="s">
        <v>144</v>
      </c>
      <c r="C55" s="188" t="s">
        <v>15</v>
      </c>
      <c r="D55" s="277">
        <v>21.22</v>
      </c>
      <c r="E55" s="257">
        <v>20.23</v>
      </c>
      <c r="F55" s="282">
        <v>20.72</v>
      </c>
      <c r="G55" s="257">
        <v>30.18</v>
      </c>
      <c r="H55" s="259">
        <v>29.08</v>
      </c>
      <c r="I55" s="282">
        <v>29.63</v>
      </c>
      <c r="J55" s="257">
        <v>28.52</v>
      </c>
      <c r="K55" s="256">
        <v>28.74</v>
      </c>
      <c r="L55" s="285">
        <v>28.63</v>
      </c>
      <c r="M55" s="259">
        <v>21.16</v>
      </c>
      <c r="N55" s="256">
        <v>21.57</v>
      </c>
      <c r="O55" s="285">
        <v>21.37</v>
      </c>
      <c r="P55" s="256">
        <v>26.09</v>
      </c>
      <c r="Q55" s="257">
        <v>26.47</v>
      </c>
      <c r="R55" s="288">
        <v>26.28</v>
      </c>
      <c r="S55" s="175">
        <v>31.05</v>
      </c>
      <c r="T55" s="176">
        <v>28.26</v>
      </c>
      <c r="U55" s="175">
        <v>29.06</v>
      </c>
      <c r="V55" s="176">
        <v>26.52</v>
      </c>
      <c r="W55" s="177">
        <v>30.56</v>
      </c>
      <c r="X55" s="254">
        <v>21.157714645845751</v>
      </c>
      <c r="Y55" s="90" t="e">
        <f>10^((#REF!-C$2)/D$2)</f>
        <v>#REF!</v>
      </c>
      <c r="Z55" s="90" t="e">
        <f>10^((#REF!-C$3)/D$3)</f>
        <v>#REF!</v>
      </c>
      <c r="AA55" s="90" t="e">
        <f>10^((#REF!-C$5)/D$5)</f>
        <v>#REF!</v>
      </c>
      <c r="AB55" s="90" t="e">
        <f>10^((#REF!-C$6)/D$6)</f>
        <v>#REF!</v>
      </c>
      <c r="AC55" s="90" t="e">
        <f>10^((#REF!-C$4)/D$4)</f>
        <v>#REF!</v>
      </c>
      <c r="AD55" s="90">
        <f t="shared" si="15"/>
        <v>0.10347367941376955</v>
      </c>
      <c r="AE55" s="90">
        <f t="shared" si="29"/>
        <v>1.7327397295328211</v>
      </c>
      <c r="AF55" s="90">
        <f t="shared" si="16"/>
        <v>0.17795691217255627</v>
      </c>
      <c r="AG55" s="90">
        <f t="shared" si="17"/>
        <v>4.5573729090767046</v>
      </c>
      <c r="AH55" s="90">
        <f t="shared" si="18"/>
        <v>2.8167829992398578E-2</v>
      </c>
      <c r="AI55" s="72" t="e">
        <f t="shared" si="19"/>
        <v>#REF!</v>
      </c>
      <c r="AJ55" s="72" t="e">
        <f t="shared" si="20"/>
        <v>#REF!</v>
      </c>
      <c r="AK55" s="72" t="e">
        <f t="shared" si="21"/>
        <v>#REF!</v>
      </c>
      <c r="AL55" s="72" t="e">
        <f t="shared" si="22"/>
        <v>#REF!</v>
      </c>
      <c r="AM55" s="72" t="e">
        <f t="shared" si="23"/>
        <v>#REF!</v>
      </c>
      <c r="AN55" s="72">
        <f t="shared" si="24"/>
        <v>874184199.53664446</v>
      </c>
      <c r="AO55" s="72">
        <f t="shared" si="25"/>
        <v>11977225265.434628</v>
      </c>
      <c r="AP55" s="72">
        <f t="shared" si="26"/>
        <v>1462812619.5783973</v>
      </c>
      <c r="AQ55" s="72">
        <f t="shared" si="27"/>
        <v>34084078065.648174</v>
      </c>
      <c r="AR55" s="72">
        <f t="shared" si="28"/>
        <v>267718863.97447008</v>
      </c>
    </row>
    <row r="56" spans="1:44" x14ac:dyDescent="0.25">
      <c r="A56" s="179" t="s">
        <v>33</v>
      </c>
      <c r="B56" s="186" t="s">
        <v>144</v>
      </c>
      <c r="C56" t="s">
        <v>145</v>
      </c>
      <c r="D56" s="276">
        <v>21.95</v>
      </c>
      <c r="E56" s="260">
        <v>21.29</v>
      </c>
      <c r="F56" s="281">
        <v>21.62</v>
      </c>
      <c r="G56" s="260">
        <v>21.82</v>
      </c>
      <c r="H56" s="258">
        <v>21.82</v>
      </c>
      <c r="I56" s="281">
        <v>21.82</v>
      </c>
      <c r="J56" s="260">
        <v>21.67</v>
      </c>
      <c r="K56" s="255">
        <v>21.91</v>
      </c>
      <c r="L56" s="284">
        <v>21.79</v>
      </c>
      <c r="M56" s="258">
        <v>21.93</v>
      </c>
      <c r="N56" s="255">
        <v>21.95</v>
      </c>
      <c r="O56" s="284">
        <v>21.94</v>
      </c>
      <c r="P56" s="255">
        <v>21.06</v>
      </c>
      <c r="Q56" s="260">
        <v>21.47</v>
      </c>
      <c r="R56" s="287">
        <v>21.27</v>
      </c>
      <c r="S56" s="170">
        <v>25.08</v>
      </c>
      <c r="T56" s="171">
        <v>22.03</v>
      </c>
      <c r="U56" s="170">
        <v>21.75</v>
      </c>
      <c r="V56" s="171">
        <v>24.81</v>
      </c>
      <c r="W56" s="172">
        <v>25.52</v>
      </c>
      <c r="X56" s="253">
        <v>32.114754378407895</v>
      </c>
      <c r="Y56" s="88" t="e">
        <f>10^((#REF!-C$2)/D$2)</f>
        <v>#REF!</v>
      </c>
      <c r="Z56" s="88" t="e">
        <f>10^((#REF!-C$3)/D$3)</f>
        <v>#REF!</v>
      </c>
      <c r="AA56" s="88" t="e">
        <f>10^((#REF!-C$5)/D$5)</f>
        <v>#REF!</v>
      </c>
      <c r="AB56" s="88" t="e">
        <f>10^((#REF!-C$6)/D$6)</f>
        <v>#REF!</v>
      </c>
      <c r="AC56" s="88" t="e">
        <f>10^((#REF!-C$4)/D$4)</f>
        <v>#REF!</v>
      </c>
      <c r="AD56" s="88">
        <f t="shared" si="15"/>
        <v>5.6337769819879195</v>
      </c>
      <c r="AE56" s="88">
        <f t="shared" si="29"/>
        <v>1.5543054278872297</v>
      </c>
      <c r="AF56" s="88">
        <f t="shared" si="16"/>
        <v>35.641185492991546</v>
      </c>
      <c r="AG56" s="88">
        <f t="shared" si="17"/>
        <v>13.760911677743932</v>
      </c>
      <c r="AH56" s="88">
        <f t="shared" si="18"/>
        <v>1.0078383394846082</v>
      </c>
      <c r="AI56" s="70" t="e">
        <f t="shared" si="19"/>
        <v>#REF!</v>
      </c>
      <c r="AJ56" s="70" t="e">
        <f t="shared" si="20"/>
        <v>#REF!</v>
      </c>
      <c r="AK56" s="70" t="e">
        <f t="shared" si="21"/>
        <v>#REF!</v>
      </c>
      <c r="AL56" s="70" t="e">
        <f t="shared" si="22"/>
        <v>#REF!</v>
      </c>
      <c r="AM56" s="70" t="e">
        <f t="shared" si="23"/>
        <v>#REF!</v>
      </c>
      <c r="AN56" s="70">
        <f t="shared" si="24"/>
        <v>47596247173.865379</v>
      </c>
      <c r="AO56" s="70">
        <f t="shared" si="25"/>
        <v>10743832973.756769</v>
      </c>
      <c r="AP56" s="70">
        <f t="shared" si="26"/>
        <v>292971906959.86224</v>
      </c>
      <c r="AQ56" s="70">
        <f t="shared" si="27"/>
        <v>102916306660.92145</v>
      </c>
      <c r="AR56" s="70">
        <f t="shared" si="28"/>
        <v>9578918056.1494789</v>
      </c>
    </row>
    <row r="57" spans="1:44" x14ac:dyDescent="0.25">
      <c r="A57" s="179" t="s">
        <v>33</v>
      </c>
      <c r="B57" s="186" t="s">
        <v>144</v>
      </c>
      <c r="C57" t="s">
        <v>146</v>
      </c>
      <c r="D57" s="276">
        <v>25.06</v>
      </c>
      <c r="E57" s="260">
        <v>25.3</v>
      </c>
      <c r="F57" s="281">
        <v>25.18</v>
      </c>
      <c r="G57" s="260">
        <v>25.03</v>
      </c>
      <c r="H57" s="258">
        <v>25.19</v>
      </c>
      <c r="I57" s="281">
        <v>25.11</v>
      </c>
      <c r="J57" s="260">
        <v>26.1</v>
      </c>
      <c r="K57" s="255">
        <v>26.45</v>
      </c>
      <c r="L57" s="284">
        <v>26.27</v>
      </c>
      <c r="M57" s="258">
        <v>32.94</v>
      </c>
      <c r="N57" s="255">
        <v>32.19</v>
      </c>
      <c r="O57" s="284">
        <v>32.57</v>
      </c>
      <c r="P57" s="255">
        <v>30.25</v>
      </c>
      <c r="Q57" s="260">
        <v>30.4</v>
      </c>
      <c r="R57" s="287">
        <v>30.32</v>
      </c>
      <c r="S57" s="170">
        <v>30.84</v>
      </c>
      <c r="T57" s="171">
        <v>25.13</v>
      </c>
      <c r="U57" s="170">
        <v>28.26</v>
      </c>
      <c r="V57" s="171">
        <v>20.67</v>
      </c>
      <c r="W57" s="172">
        <v>28.21</v>
      </c>
      <c r="X57" s="253">
        <v>28.445929580038051</v>
      </c>
      <c r="Y57" s="89" t="e">
        <f>10^((#REF!-C$2)/D$2)</f>
        <v>#REF!</v>
      </c>
      <c r="Z57" s="89" t="e">
        <f>10^((#REF!-C$3)/D$3)</f>
        <v>#REF!</v>
      </c>
      <c r="AA57" s="89" t="e">
        <f>10^((#REF!-C$5)/D$5)</f>
        <v>#REF!</v>
      </c>
      <c r="AB57" s="89" t="e">
        <f>10^((#REF!-C$6)/D$6)</f>
        <v>#REF!</v>
      </c>
      <c r="AC57" s="89" t="e">
        <f>10^((#REF!-C$4)/D$4)</f>
        <v>#REF!</v>
      </c>
      <c r="AD57" s="89">
        <f t="shared" si="15"/>
        <v>0.1190951718094308</v>
      </c>
      <c r="AE57" s="89">
        <f t="shared" si="29"/>
        <v>1.6406699060137131</v>
      </c>
      <c r="AF57" s="89">
        <f t="shared" si="16"/>
        <v>0.31783669070633025</v>
      </c>
      <c r="AG57" s="89">
        <f t="shared" si="17"/>
        <v>199.79719692884873</v>
      </c>
      <c r="AH57" s="89">
        <f t="shared" si="18"/>
        <v>0.14933709338464785</v>
      </c>
      <c r="AI57" s="71" t="e">
        <f t="shared" si="19"/>
        <v>#REF!</v>
      </c>
      <c r="AJ57" s="71" t="e">
        <f t="shared" si="20"/>
        <v>#REF!</v>
      </c>
      <c r="AK57" s="71" t="e">
        <f t="shared" si="21"/>
        <v>#REF!</v>
      </c>
      <c r="AL57" s="71" t="e">
        <f t="shared" si="22"/>
        <v>#REF!</v>
      </c>
      <c r="AM57" s="71" t="e">
        <f t="shared" si="23"/>
        <v>#REF!</v>
      </c>
      <c r="AN57" s="71">
        <f t="shared" si="24"/>
        <v>1006160388.0981935</v>
      </c>
      <c r="AO57" s="71">
        <f t="shared" si="25"/>
        <v>11340810576.233448</v>
      </c>
      <c r="AP57" s="71">
        <f t="shared" si="26"/>
        <v>2612629745.3365011</v>
      </c>
      <c r="AQ57" s="71">
        <f t="shared" si="27"/>
        <v>1494260705297.4751</v>
      </c>
      <c r="AR57" s="71">
        <f t="shared" si="28"/>
        <v>1419362336.4304757</v>
      </c>
    </row>
    <row r="58" spans="1:44" x14ac:dyDescent="0.25">
      <c r="A58" s="179" t="s">
        <v>33</v>
      </c>
      <c r="B58" s="186" t="s">
        <v>144</v>
      </c>
      <c r="C58" t="s">
        <v>15</v>
      </c>
      <c r="D58" s="276">
        <v>25.5</v>
      </c>
      <c r="E58" s="260">
        <v>26.36</v>
      </c>
      <c r="F58" s="281">
        <v>25.93</v>
      </c>
      <c r="G58" s="260">
        <v>26.08</v>
      </c>
      <c r="H58" s="258">
        <v>25.86</v>
      </c>
      <c r="I58" s="281">
        <v>25.97</v>
      </c>
      <c r="J58" s="260">
        <v>26.29</v>
      </c>
      <c r="K58" s="255">
        <v>27.06</v>
      </c>
      <c r="L58" s="284">
        <v>26.68</v>
      </c>
      <c r="M58" s="258">
        <v>28.14</v>
      </c>
      <c r="N58" s="255">
        <v>28.27</v>
      </c>
      <c r="O58" s="284">
        <v>28.2</v>
      </c>
      <c r="P58" s="255">
        <v>25.88</v>
      </c>
      <c r="Q58" s="260">
        <v>26.38</v>
      </c>
      <c r="R58" s="287">
        <v>26.13</v>
      </c>
      <c r="S58" s="170">
        <v>30.7</v>
      </c>
      <c r="T58" s="171">
        <v>28.17</v>
      </c>
      <c r="U58" s="170">
        <v>28.52</v>
      </c>
      <c r="V58" s="171">
        <v>27.27</v>
      </c>
      <c r="W58" s="172">
        <v>30.91</v>
      </c>
      <c r="X58" s="253">
        <v>30.277232673477549</v>
      </c>
      <c r="Y58" s="90" t="e">
        <f>10^((#REF!-C$2)/D$2)</f>
        <v>#REF!</v>
      </c>
      <c r="Z58" s="90" t="e">
        <f>10^((#REF!-C$3)/D$3)</f>
        <v>#REF!</v>
      </c>
      <c r="AA58" s="90" t="e">
        <f>10^((#REF!-C$5)/D$5)</f>
        <v>#REF!</v>
      </c>
      <c r="AB58" s="90" t="e">
        <f>10^((#REF!-C$6)/D$6)</f>
        <v>#REF!</v>
      </c>
      <c r="AC58" s="90" t="e">
        <f>10^((#REF!-C$4)/D$4)</f>
        <v>#REF!</v>
      </c>
      <c r="AD58" s="90">
        <f t="shared" si="15"/>
        <v>0.13079877115910227</v>
      </c>
      <c r="AE58" s="90">
        <f t="shared" si="29"/>
        <v>1.7300215587764376</v>
      </c>
      <c r="AF58" s="90">
        <f t="shared" si="16"/>
        <v>0.26323282848940815</v>
      </c>
      <c r="AG58" s="90">
        <f t="shared" si="17"/>
        <v>2.8068408854625817</v>
      </c>
      <c r="AH58" s="90">
        <f t="shared" si="18"/>
        <v>2.1971610874074871E-2</v>
      </c>
      <c r="AI58" s="72" t="e">
        <f t="shared" si="19"/>
        <v>#REF!</v>
      </c>
      <c r="AJ58" s="72" t="e">
        <f t="shared" si="20"/>
        <v>#REF!</v>
      </c>
      <c r="AK58" s="72" t="e">
        <f t="shared" si="21"/>
        <v>#REF!</v>
      </c>
      <c r="AL58" s="72" t="e">
        <f t="shared" si="22"/>
        <v>#REF!</v>
      </c>
      <c r="AM58" s="72" t="e">
        <f t="shared" si="23"/>
        <v>#REF!</v>
      </c>
      <c r="AN58" s="72">
        <f t="shared" si="24"/>
        <v>1105036756.3413494</v>
      </c>
      <c r="AO58" s="72">
        <f t="shared" si="25"/>
        <v>11958436440.486347</v>
      </c>
      <c r="AP58" s="72">
        <f t="shared" si="26"/>
        <v>2163783910.9517007</v>
      </c>
      <c r="AQ58" s="72">
        <f t="shared" si="27"/>
        <v>20992046463.308079</v>
      </c>
      <c r="AR58" s="72">
        <f t="shared" si="28"/>
        <v>208827400.0689376</v>
      </c>
    </row>
    <row r="59" spans="1:44" hidden="1" x14ac:dyDescent="0.25">
      <c r="A59" s="178" t="s">
        <v>33</v>
      </c>
      <c r="B59" s="190" t="s">
        <v>147</v>
      </c>
      <c r="C59" s="185" t="s">
        <v>145</v>
      </c>
      <c r="D59" s="272">
        <v>21.04</v>
      </c>
      <c r="E59" s="273">
        <v>21.5</v>
      </c>
      <c r="F59" s="280">
        <v>21.27</v>
      </c>
      <c r="G59" s="273">
        <v>23.31</v>
      </c>
      <c r="H59" s="275">
        <v>23.71</v>
      </c>
      <c r="I59" s="280">
        <v>23.51</v>
      </c>
      <c r="J59" s="273">
        <v>20.92</v>
      </c>
      <c r="K59" s="274">
        <v>21.61</v>
      </c>
      <c r="L59" s="283">
        <v>21.27</v>
      </c>
      <c r="M59" s="275">
        <v>23.7</v>
      </c>
      <c r="N59" s="274">
        <v>23.84</v>
      </c>
      <c r="O59" s="283">
        <v>23.77</v>
      </c>
      <c r="P59" s="274">
        <v>19.329999999999998</v>
      </c>
      <c r="Q59" s="273">
        <v>19.68</v>
      </c>
      <c r="R59" s="286">
        <v>19.5</v>
      </c>
      <c r="S59" s="165">
        <v>24.33</v>
      </c>
      <c r="T59" s="166">
        <v>20.61</v>
      </c>
      <c r="U59" s="165">
        <v>20.75</v>
      </c>
      <c r="V59" s="166">
        <v>18.809999999999999</v>
      </c>
      <c r="W59" s="167">
        <v>22.95</v>
      </c>
      <c r="X59" s="252">
        <v>24.183617992902398</v>
      </c>
      <c r="Y59" s="88" t="e">
        <f>10^((#REF!-C$2)/D$2)</f>
        <v>#REF!</v>
      </c>
      <c r="Z59" s="88" t="e">
        <f>10^((#REF!-C$3)/D$3)</f>
        <v>#REF!</v>
      </c>
      <c r="AA59" s="88" t="e">
        <f>10^((#REF!-C$5)/D$5)</f>
        <v>#REF!</v>
      </c>
      <c r="AB59" s="88" t="e">
        <f>10^((#REF!-C$6)/D$6)</f>
        <v>#REF!</v>
      </c>
      <c r="AC59" s="88" t="e">
        <f>10^((#REF!-C$4)/D$4)</f>
        <v>#REF!</v>
      </c>
      <c r="AD59" s="88">
        <f t="shared" si="15"/>
        <v>9.3086414859088151</v>
      </c>
      <c r="AE59" s="88">
        <f t="shared" si="29"/>
        <v>1.5162778398536163</v>
      </c>
      <c r="AF59" s="88">
        <f t="shared" si="16"/>
        <v>73.589118725289026</v>
      </c>
      <c r="AG59" s="88">
        <f t="shared" si="17"/>
        <v>664.69343054263197</v>
      </c>
      <c r="AH59" s="88">
        <f t="shared" si="18"/>
        <v>6.2462978305378662</v>
      </c>
      <c r="AI59" s="70" t="e">
        <f t="shared" si="19"/>
        <v>#REF!</v>
      </c>
      <c r="AJ59" s="70" t="e">
        <f t="shared" si="20"/>
        <v>#REF!</v>
      </c>
      <c r="AK59" s="70" t="e">
        <f t="shared" si="21"/>
        <v>#REF!</v>
      </c>
      <c r="AL59" s="70" t="e">
        <f t="shared" si="22"/>
        <v>#REF!</v>
      </c>
      <c r="AM59" s="70" t="e">
        <f t="shared" si="23"/>
        <v>#REF!</v>
      </c>
      <c r="AN59" s="70">
        <f t="shared" si="24"/>
        <v>78642871812.770599</v>
      </c>
      <c r="AO59" s="70">
        <f t="shared" si="25"/>
        <v>10480974691.917444</v>
      </c>
      <c r="AP59" s="70">
        <f t="shared" si="26"/>
        <v>604905368500.80603</v>
      </c>
      <c r="AQ59" s="70">
        <f t="shared" si="27"/>
        <v>4971167211534.6865</v>
      </c>
      <c r="AR59" s="70">
        <f t="shared" si="28"/>
        <v>59367432979.007309</v>
      </c>
    </row>
    <row r="60" spans="1:44" hidden="1" x14ac:dyDescent="0.25">
      <c r="A60" s="179" t="s">
        <v>33</v>
      </c>
      <c r="B60" s="189" t="s">
        <v>147</v>
      </c>
      <c r="C60" t="s">
        <v>146</v>
      </c>
      <c r="D60" s="276">
        <v>14.65</v>
      </c>
      <c r="E60" s="260">
        <v>13.98</v>
      </c>
      <c r="F60" s="281">
        <v>14.32</v>
      </c>
      <c r="G60" s="260">
        <v>15.97</v>
      </c>
      <c r="H60" s="258">
        <v>16.239999999999998</v>
      </c>
      <c r="I60" s="281">
        <v>16.11</v>
      </c>
      <c r="J60" s="260">
        <v>18.059999999999999</v>
      </c>
      <c r="K60" s="255">
        <v>18.829999999999998</v>
      </c>
      <c r="L60" s="284">
        <v>18.440000000000001</v>
      </c>
      <c r="M60" s="258">
        <v>31.52</v>
      </c>
      <c r="N60" s="255">
        <v>32.07</v>
      </c>
      <c r="O60" s="284">
        <v>31.79</v>
      </c>
      <c r="P60" s="255">
        <v>19.66</v>
      </c>
      <c r="Q60" s="260">
        <v>20.100000000000001</v>
      </c>
      <c r="R60" s="287">
        <v>19.88</v>
      </c>
      <c r="S60" s="170">
        <v>23.87</v>
      </c>
      <c r="T60" s="171">
        <v>19.920000000000002</v>
      </c>
      <c r="U60" s="170">
        <v>19.5</v>
      </c>
      <c r="V60" s="171">
        <v>16.46</v>
      </c>
      <c r="W60" s="172">
        <v>19.09</v>
      </c>
      <c r="X60" s="253">
        <v>21.55571563896525</v>
      </c>
      <c r="Y60" s="89" t="e">
        <f>10^((#REF!-C$2)/D$2)</f>
        <v>#REF!</v>
      </c>
      <c r="Z60" s="89" t="e">
        <f>10^((#REF!-C$3)/D$3)</f>
        <v>#REF!</v>
      </c>
      <c r="AA60" s="89" t="e">
        <f>10^((#REF!-C$5)/D$5)</f>
        <v>#REF!</v>
      </c>
      <c r="AB60" s="89" t="e">
        <f>10^((#REF!-C$6)/D$6)</f>
        <v>#REF!</v>
      </c>
      <c r="AC60" s="89" t="e">
        <f>10^((#REF!-C$4)/D$4)</f>
        <v>#REF!</v>
      </c>
      <c r="AD60" s="89">
        <f t="shared" si="15"/>
        <v>12.666193489736973</v>
      </c>
      <c r="AE60" s="89">
        <f t="shared" si="29"/>
        <v>1.4981369485441633</v>
      </c>
      <c r="AF60" s="89">
        <f t="shared" si="16"/>
        <v>182.13374946439109</v>
      </c>
      <c r="AG60" s="89">
        <f t="shared" si="17"/>
        <v>3035.1344903882159</v>
      </c>
      <c r="AH60" s="89">
        <f t="shared" si="18"/>
        <v>96.718981365954278</v>
      </c>
      <c r="AI60" s="71" t="e">
        <f t="shared" si="19"/>
        <v>#REF!</v>
      </c>
      <c r="AJ60" s="71" t="e">
        <f t="shared" si="20"/>
        <v>#REF!</v>
      </c>
      <c r="AK60" s="71" t="e">
        <f t="shared" si="21"/>
        <v>#REF!</v>
      </c>
      <c r="AL60" s="71" t="e">
        <f t="shared" si="22"/>
        <v>#REF!</v>
      </c>
      <c r="AM60" s="71" t="e">
        <f t="shared" si="23"/>
        <v>#REF!</v>
      </c>
      <c r="AN60" s="71">
        <f t="shared" si="24"/>
        <v>107008722215.48268</v>
      </c>
      <c r="AO60" s="71">
        <f t="shared" si="25"/>
        <v>10355579320.63011</v>
      </c>
      <c r="AP60" s="71">
        <f t="shared" si="26"/>
        <v>1497146381756.1604</v>
      </c>
      <c r="AQ60" s="71">
        <f t="shared" si="27"/>
        <v>22699428590558.66</v>
      </c>
      <c r="AR60" s="71">
        <f t="shared" si="28"/>
        <v>919257742717.45056</v>
      </c>
    </row>
    <row r="61" spans="1:44" hidden="1" x14ac:dyDescent="0.25">
      <c r="A61" s="180" t="s">
        <v>33</v>
      </c>
      <c r="B61" s="191" t="s">
        <v>147</v>
      </c>
      <c r="C61" s="188" t="s">
        <v>15</v>
      </c>
      <c r="D61" s="277">
        <v>24.24</v>
      </c>
      <c r="E61" s="257">
        <v>23.46</v>
      </c>
      <c r="F61" s="282">
        <v>23.85</v>
      </c>
      <c r="G61" s="257">
        <v>24.32</v>
      </c>
      <c r="H61" s="259">
        <v>24.08</v>
      </c>
      <c r="I61" s="282">
        <v>24.2</v>
      </c>
      <c r="J61" s="257">
        <v>26.01</v>
      </c>
      <c r="K61" s="256">
        <v>25.8</v>
      </c>
      <c r="L61" s="285">
        <v>25.91</v>
      </c>
      <c r="M61" s="259">
        <v>26.86</v>
      </c>
      <c r="N61" s="256">
        <v>27.19</v>
      </c>
      <c r="O61" s="285">
        <v>27.03</v>
      </c>
      <c r="P61" s="256">
        <v>23.19</v>
      </c>
      <c r="Q61" s="257">
        <v>23.95</v>
      </c>
      <c r="R61" s="288">
        <v>23.57</v>
      </c>
      <c r="S61" s="175">
        <v>30.6</v>
      </c>
      <c r="T61" s="176">
        <v>23.62</v>
      </c>
      <c r="U61" s="175">
        <v>24.96</v>
      </c>
      <c r="V61" s="176">
        <v>22.86</v>
      </c>
      <c r="W61" s="177">
        <v>25.18</v>
      </c>
      <c r="X61" s="254">
        <v>21.1018499002517</v>
      </c>
      <c r="Y61" s="90" t="e">
        <f>10^((#REF!-C$2)/D$2)</f>
        <v>#REF!</v>
      </c>
      <c r="Z61" s="90" t="e">
        <f>10^((#REF!-C$3)/D$3)</f>
        <v>#REF!</v>
      </c>
      <c r="AA61" s="90" t="e">
        <f>10^((#REF!-C$5)/D$5)</f>
        <v>#REF!</v>
      </c>
      <c r="AB61" s="90" t="e">
        <f>10^((#REF!-C$6)/D$6)</f>
        <v>#REF!</v>
      </c>
      <c r="AC61" s="90" t="e">
        <f>10^((#REF!-C$4)/D$4)</f>
        <v>#REF!</v>
      </c>
      <c r="AD61" s="90">
        <f t="shared" si="15"/>
        <v>0.13985625162722698</v>
      </c>
      <c r="AE61" s="90">
        <f t="shared" si="29"/>
        <v>1.5980185567325254</v>
      </c>
      <c r="AF61" s="90">
        <f t="shared" si="16"/>
        <v>3.4773375586915325</v>
      </c>
      <c r="AG61" s="90">
        <f t="shared" si="17"/>
        <v>48.52201364293137</v>
      </c>
      <c r="AH61" s="90">
        <f t="shared" si="18"/>
        <v>1.2829205252175351</v>
      </c>
      <c r="AI61" s="72" t="e">
        <f t="shared" si="19"/>
        <v>#REF!</v>
      </c>
      <c r="AJ61" s="72" t="e">
        <f t="shared" si="20"/>
        <v>#REF!</v>
      </c>
      <c r="AK61" s="72" t="e">
        <f t="shared" si="21"/>
        <v>#REF!</v>
      </c>
      <c r="AL61" s="72" t="e">
        <f t="shared" si="22"/>
        <v>#REF!</v>
      </c>
      <c r="AM61" s="72" t="e">
        <f t="shared" si="23"/>
        <v>#REF!</v>
      </c>
      <c r="AN61" s="72">
        <f t="shared" si="24"/>
        <v>1181557726.2895072</v>
      </c>
      <c r="AO61" s="72">
        <f t="shared" si="25"/>
        <v>11045991447.019361</v>
      </c>
      <c r="AP61" s="72">
        <f t="shared" si="26"/>
        <v>28583847636.418793</v>
      </c>
      <c r="AQ61" s="72">
        <f t="shared" si="27"/>
        <v>362890668352.87219</v>
      </c>
      <c r="AR61" s="72">
        <f t="shared" si="28"/>
        <v>12193414461.584589</v>
      </c>
    </row>
    <row r="62" spans="1:44" hidden="1" x14ac:dyDescent="0.25">
      <c r="A62" s="179" t="s">
        <v>33</v>
      </c>
      <c r="B62" s="189" t="s">
        <v>147</v>
      </c>
      <c r="C62" t="s">
        <v>145</v>
      </c>
      <c r="D62" s="276">
        <v>22.8</v>
      </c>
      <c r="E62" s="260">
        <v>22.66</v>
      </c>
      <c r="F62" s="281">
        <v>22.73</v>
      </c>
      <c r="G62" s="260">
        <v>22.72</v>
      </c>
      <c r="H62" s="258">
        <v>22.1</v>
      </c>
      <c r="I62" s="281">
        <v>22.41</v>
      </c>
      <c r="J62" s="260">
        <v>23.74</v>
      </c>
      <c r="K62" s="255">
        <v>23.49</v>
      </c>
      <c r="L62" s="284">
        <v>23.62</v>
      </c>
      <c r="M62" s="258">
        <v>24.7</v>
      </c>
      <c r="N62" s="255">
        <v>24.31</v>
      </c>
      <c r="O62" s="284">
        <v>24.5</v>
      </c>
      <c r="P62" s="255">
        <v>22.15</v>
      </c>
      <c r="Q62" s="260">
        <v>22.45</v>
      </c>
      <c r="R62" s="287">
        <v>22.3</v>
      </c>
      <c r="S62" s="170">
        <v>27.45</v>
      </c>
      <c r="T62" s="171">
        <v>23.46</v>
      </c>
      <c r="U62" s="170">
        <v>23.09</v>
      </c>
      <c r="V62" s="171">
        <v>25.68</v>
      </c>
      <c r="W62" s="172">
        <v>24.41</v>
      </c>
      <c r="X62" s="253">
        <v>21.759336610967352</v>
      </c>
      <c r="Y62" s="88" t="e">
        <f>10^((#REF!-C$2)/D$2)</f>
        <v>#REF!</v>
      </c>
      <c r="Z62" s="88" t="e">
        <f>10^((#REF!-C$3)/D$3)</f>
        <v>#REF!</v>
      </c>
      <c r="AA62" s="88" t="e">
        <f>10^((#REF!-C$5)/D$5)</f>
        <v>#REF!</v>
      </c>
      <c r="AB62" s="88" t="e">
        <f>10^((#REF!-C$6)/D$6)</f>
        <v>#REF!</v>
      </c>
      <c r="AC62" s="88" t="e">
        <f>10^((#REF!-C$4)/D$4)</f>
        <v>#REF!</v>
      </c>
      <c r="AD62" s="88">
        <f t="shared" si="15"/>
        <v>1.1525129853377762</v>
      </c>
      <c r="AE62" s="88">
        <f t="shared" si="29"/>
        <v>1.5935646856861347</v>
      </c>
      <c r="AF62" s="88">
        <f t="shared" si="16"/>
        <v>13.49080246707884</v>
      </c>
      <c r="AG62" s="88">
        <f t="shared" si="17"/>
        <v>7.842796591953376</v>
      </c>
      <c r="AH62" s="88">
        <f t="shared" si="18"/>
        <v>2.2159555048767112</v>
      </c>
      <c r="AI62" s="70" t="e">
        <f t="shared" si="19"/>
        <v>#REF!</v>
      </c>
      <c r="AJ62" s="70" t="e">
        <f t="shared" si="20"/>
        <v>#REF!</v>
      </c>
      <c r="AK62" s="70" t="e">
        <f t="shared" si="21"/>
        <v>#REF!</v>
      </c>
      <c r="AL62" s="70" t="e">
        <f t="shared" si="22"/>
        <v>#REF!</v>
      </c>
      <c r="AM62" s="70" t="e">
        <f t="shared" si="23"/>
        <v>#REF!</v>
      </c>
      <c r="AN62" s="70">
        <f t="shared" si="24"/>
        <v>9736859143.8048382</v>
      </c>
      <c r="AO62" s="70">
        <f t="shared" si="25"/>
        <v>11015204932.509071</v>
      </c>
      <c r="AP62" s="70">
        <f t="shared" si="26"/>
        <v>110894911898.37396</v>
      </c>
      <c r="AQ62" s="70">
        <f t="shared" si="27"/>
        <v>58655391302.463028</v>
      </c>
      <c r="AR62" s="70">
        <f t="shared" si="28"/>
        <v>21061370028.989197</v>
      </c>
    </row>
    <row r="63" spans="1:44" hidden="1" x14ac:dyDescent="0.25">
      <c r="A63" s="179" t="s">
        <v>33</v>
      </c>
      <c r="B63" s="189" t="s">
        <v>147</v>
      </c>
      <c r="C63" t="s">
        <v>146</v>
      </c>
      <c r="D63" s="276">
        <v>14.97</v>
      </c>
      <c r="E63" s="260">
        <v>15.77</v>
      </c>
      <c r="F63" s="281">
        <v>15.37</v>
      </c>
      <c r="G63" s="260">
        <v>16.27</v>
      </c>
      <c r="H63" s="258">
        <v>14.94</v>
      </c>
      <c r="I63" s="281">
        <v>15.6</v>
      </c>
      <c r="J63" s="260">
        <v>17.88</v>
      </c>
      <c r="K63" s="255">
        <v>17.59</v>
      </c>
      <c r="L63" s="284">
        <v>17.739999999999998</v>
      </c>
      <c r="M63" s="258">
        <v>20.350000000000001</v>
      </c>
      <c r="N63" s="255">
        <v>20.65</v>
      </c>
      <c r="O63" s="284">
        <v>20.5</v>
      </c>
      <c r="P63" s="255">
        <v>18.28</v>
      </c>
      <c r="Q63" s="260">
        <v>19.010000000000002</v>
      </c>
      <c r="R63" s="287">
        <v>18.649999999999999</v>
      </c>
      <c r="S63" s="170">
        <v>21.52</v>
      </c>
      <c r="T63" s="171">
        <v>21.71</v>
      </c>
      <c r="U63" s="170">
        <v>20.67</v>
      </c>
      <c r="V63" s="171">
        <v>17.690000000000001</v>
      </c>
      <c r="W63" s="172">
        <v>18.96</v>
      </c>
      <c r="X63" s="253">
        <v>24.9047407663748</v>
      </c>
      <c r="Y63" s="89" t="e">
        <f>10^((#REF!-C$2)/D$2)</f>
        <v>#REF!</v>
      </c>
      <c r="Z63" s="89" t="e">
        <f>10^((#REF!-C$3)/D$3)</f>
        <v>#REF!</v>
      </c>
      <c r="AA63" s="89" t="e">
        <f>10^((#REF!-C$5)/D$5)</f>
        <v>#REF!</v>
      </c>
      <c r="AB63" s="89" t="e">
        <f>10^((#REF!-C$6)/D$6)</f>
        <v>#REF!</v>
      </c>
      <c r="AC63" s="89" t="e">
        <f>10^((#REF!-C$4)/D$4)</f>
        <v>#REF!</v>
      </c>
      <c r="AD63" s="89">
        <f t="shared" si="15"/>
        <v>61.091993624296549</v>
      </c>
      <c r="AE63" s="89">
        <f t="shared" si="29"/>
        <v>1.5456534272634448</v>
      </c>
      <c r="AF63" s="89">
        <f t="shared" si="16"/>
        <v>77.983463352173246</v>
      </c>
      <c r="AG63" s="89">
        <f t="shared" si="17"/>
        <v>1370.7657141249279</v>
      </c>
      <c r="AH63" s="89">
        <f t="shared" si="18"/>
        <v>106.06832158479797</v>
      </c>
      <c r="AI63" s="71" t="e">
        <f t="shared" si="19"/>
        <v>#REF!</v>
      </c>
      <c r="AJ63" s="71" t="e">
        <f t="shared" si="20"/>
        <v>#REF!</v>
      </c>
      <c r="AK63" s="71" t="e">
        <f t="shared" si="21"/>
        <v>#REF!</v>
      </c>
      <c r="AL63" s="71" t="e">
        <f t="shared" si="22"/>
        <v>#REF!</v>
      </c>
      <c r="AM63" s="71" t="e">
        <f t="shared" si="23"/>
        <v>#REF!</v>
      </c>
      <c r="AN63" s="71">
        <f t="shared" si="24"/>
        <v>516127925933.66125</v>
      </c>
      <c r="AO63" s="71">
        <f t="shared" si="25"/>
        <v>10684027707.736988</v>
      </c>
      <c r="AP63" s="71">
        <f t="shared" si="26"/>
        <v>641027049285.81396</v>
      </c>
      <c r="AQ63" s="71">
        <f t="shared" si="27"/>
        <v>10251802198783.303</v>
      </c>
      <c r="AR63" s="71">
        <f t="shared" si="28"/>
        <v>1008117791325.2103</v>
      </c>
    </row>
    <row r="64" spans="1:44" hidden="1" x14ac:dyDescent="0.25">
      <c r="A64" s="179" t="s">
        <v>33</v>
      </c>
      <c r="B64" s="189" t="s">
        <v>147</v>
      </c>
      <c r="C64" t="s">
        <v>15</v>
      </c>
      <c r="D64" s="276">
        <v>19.77</v>
      </c>
      <c r="E64" s="260">
        <v>20.2</v>
      </c>
      <c r="F64" s="281">
        <v>19.98</v>
      </c>
      <c r="G64" s="260">
        <v>20.420000000000002</v>
      </c>
      <c r="H64" s="258">
        <v>19.7</v>
      </c>
      <c r="I64" s="281">
        <v>20.059999999999999</v>
      </c>
      <c r="J64" s="260">
        <v>21.29</v>
      </c>
      <c r="K64" s="255">
        <v>21</v>
      </c>
      <c r="L64" s="284">
        <v>21.14</v>
      </c>
      <c r="M64" s="258">
        <v>23.78</v>
      </c>
      <c r="N64" s="255">
        <v>23.91</v>
      </c>
      <c r="O64" s="284">
        <v>23.84</v>
      </c>
      <c r="P64" s="255">
        <v>18.59</v>
      </c>
      <c r="Q64" s="260">
        <v>19.3</v>
      </c>
      <c r="R64" s="287">
        <v>18.95</v>
      </c>
      <c r="S64" s="170">
        <v>24.08</v>
      </c>
      <c r="T64" s="171">
        <v>22.8</v>
      </c>
      <c r="U64" s="170">
        <v>22.29</v>
      </c>
      <c r="V64" s="171">
        <v>24.61</v>
      </c>
      <c r="W64" s="172">
        <v>23.76</v>
      </c>
      <c r="X64" s="253">
        <v>20.619048386149</v>
      </c>
      <c r="Y64" s="90" t="e">
        <f>10^((#REF!-C$2)/D$2)</f>
        <v>#REF!</v>
      </c>
      <c r="Z64" s="90" t="e">
        <f>10^((#REF!-C$3)/D$3)</f>
        <v>#REF!</v>
      </c>
      <c r="AA64" s="90" t="e">
        <f>10^((#REF!-C$5)/D$5)</f>
        <v>#REF!</v>
      </c>
      <c r="AB64" s="90" t="e">
        <f>10^((#REF!-C$6)/D$6)</f>
        <v>#REF!</v>
      </c>
      <c r="AC64" s="90" t="e">
        <f>10^((#REF!-C$4)/D$4)</f>
        <v>#REF!</v>
      </c>
      <c r="AD64" s="90">
        <f t="shared" si="15"/>
        <v>11.004792424725627</v>
      </c>
      <c r="AE64" s="90">
        <f t="shared" si="29"/>
        <v>1.5753233015710406</v>
      </c>
      <c r="AF64" s="90">
        <f t="shared" si="16"/>
        <v>24.095001193049491</v>
      </c>
      <c r="AG64" s="90">
        <f t="shared" si="17"/>
        <v>15.659564503349507</v>
      </c>
      <c r="AH64" s="90">
        <f t="shared" si="18"/>
        <v>3.515045486973662</v>
      </c>
      <c r="AI64" s="72" t="e">
        <f t="shared" si="19"/>
        <v>#REF!</v>
      </c>
      <c r="AJ64" s="72" t="e">
        <f t="shared" si="20"/>
        <v>#REF!</v>
      </c>
      <c r="AK64" s="72" t="e">
        <f t="shared" si="21"/>
        <v>#REF!</v>
      </c>
      <c r="AL64" s="72" t="e">
        <f t="shared" si="22"/>
        <v>#REF!</v>
      </c>
      <c r="AM64" s="72" t="e">
        <f t="shared" si="23"/>
        <v>#REF!</v>
      </c>
      <c r="AN64" s="72">
        <f t="shared" si="24"/>
        <v>92972586955.243729</v>
      </c>
      <c r="AO64" s="72">
        <f t="shared" si="25"/>
        <v>10889114924.31222</v>
      </c>
      <c r="AP64" s="72">
        <f t="shared" si="26"/>
        <v>198061830718.73331</v>
      </c>
      <c r="AQ64" s="72">
        <f t="shared" si="27"/>
        <v>117116117038.215</v>
      </c>
      <c r="AR64" s="72">
        <f t="shared" si="28"/>
        <v>33408465786.861416</v>
      </c>
    </row>
    <row r="65" spans="1:44" hidden="1" x14ac:dyDescent="0.25">
      <c r="A65" s="178" t="s">
        <v>33</v>
      </c>
      <c r="B65" s="190" t="s">
        <v>147</v>
      </c>
      <c r="C65" s="185" t="s">
        <v>145</v>
      </c>
      <c r="D65" s="272">
        <v>17.79</v>
      </c>
      <c r="E65" s="273">
        <v>17.760000000000002</v>
      </c>
      <c r="F65" s="280">
        <v>17.78</v>
      </c>
      <c r="G65" s="273">
        <v>17.829999999999998</v>
      </c>
      <c r="H65" s="275">
        <v>17.54</v>
      </c>
      <c r="I65" s="280">
        <v>17.68</v>
      </c>
      <c r="J65" s="273">
        <v>19.600000000000001</v>
      </c>
      <c r="K65" s="274">
        <v>19.27</v>
      </c>
      <c r="L65" s="283">
        <v>19.43</v>
      </c>
      <c r="M65" s="275">
        <v>21.02</v>
      </c>
      <c r="N65" s="274">
        <v>21.37</v>
      </c>
      <c r="O65" s="283">
        <v>21.2</v>
      </c>
      <c r="P65" s="274">
        <v>17.66</v>
      </c>
      <c r="Q65" s="273">
        <v>17.850000000000001</v>
      </c>
      <c r="R65" s="286">
        <v>17.760000000000002</v>
      </c>
      <c r="S65" s="165">
        <v>21.34</v>
      </c>
      <c r="T65" s="166">
        <v>20.059999999999999</v>
      </c>
      <c r="U65" s="165">
        <v>19.75</v>
      </c>
      <c r="V65" s="166">
        <v>24.15</v>
      </c>
      <c r="W65" s="167">
        <v>21.75</v>
      </c>
      <c r="X65" s="252">
        <v>23.006727899164201</v>
      </c>
      <c r="Y65" s="88" t="e">
        <f>10^((#REF!-C$2)/D$2)</f>
        <v>#REF!</v>
      </c>
      <c r="Z65" s="88" t="e">
        <f>10^((#REF!-C$3)/D$3)</f>
        <v>#REF!</v>
      </c>
      <c r="AA65" s="88" t="e">
        <f>10^((#REF!-C$5)/D$5)</f>
        <v>#REF!</v>
      </c>
      <c r="AB65" s="88" t="e">
        <f>10^((#REF!-C$6)/D$6)</f>
        <v>#REF!</v>
      </c>
      <c r="AC65" s="88" t="e">
        <f>10^((#REF!-C$4)/D$4)</f>
        <v>#REF!</v>
      </c>
      <c r="AD65" s="88">
        <f t="shared" si="15"/>
        <v>68.916798535153461</v>
      </c>
      <c r="AE65" s="88">
        <f t="shared" si="29"/>
        <v>1.5018000733801145</v>
      </c>
      <c r="AF65" s="88">
        <f t="shared" si="16"/>
        <v>151.94102889281169</v>
      </c>
      <c r="AG65" s="88">
        <f t="shared" si="17"/>
        <v>21.080667927721816</v>
      </c>
      <c r="AH65" s="88">
        <f t="shared" si="18"/>
        <v>14.639841501326252</v>
      </c>
      <c r="AI65" s="70" t="e">
        <f t="shared" si="19"/>
        <v>#REF!</v>
      </c>
      <c r="AJ65" s="70" t="e">
        <f t="shared" si="20"/>
        <v>#REF!</v>
      </c>
      <c r="AK65" s="70" t="e">
        <f t="shared" si="21"/>
        <v>#REF!</v>
      </c>
      <c r="AL65" s="70" t="e">
        <f t="shared" si="22"/>
        <v>#REF!</v>
      </c>
      <c r="AM65" s="70" t="e">
        <f t="shared" si="23"/>
        <v>#REF!</v>
      </c>
      <c r="AN65" s="70">
        <f t="shared" si="24"/>
        <v>582234793460.56982</v>
      </c>
      <c r="AO65" s="70">
        <f t="shared" si="25"/>
        <v>10380899956.261534</v>
      </c>
      <c r="AP65" s="70">
        <f t="shared" si="26"/>
        <v>1248961064690.8433</v>
      </c>
      <c r="AQ65" s="70">
        <f t="shared" si="27"/>
        <v>157659938227.44754</v>
      </c>
      <c r="AR65" s="70">
        <f t="shared" si="28"/>
        <v>139143190531.86032</v>
      </c>
    </row>
    <row r="66" spans="1:44" hidden="1" x14ac:dyDescent="0.25">
      <c r="A66" s="179" t="s">
        <v>33</v>
      </c>
      <c r="B66" s="189" t="s">
        <v>147</v>
      </c>
      <c r="C66" t="s">
        <v>146</v>
      </c>
      <c r="D66" s="276">
        <v>15.72</v>
      </c>
      <c r="E66" s="260">
        <v>15.85</v>
      </c>
      <c r="F66" s="281">
        <v>15.78</v>
      </c>
      <c r="G66" s="260">
        <v>14.81</v>
      </c>
      <c r="H66" s="258">
        <v>14.86</v>
      </c>
      <c r="I66" s="281">
        <v>14.84</v>
      </c>
      <c r="J66" s="260">
        <v>17.02</v>
      </c>
      <c r="K66" s="255">
        <v>16.72</v>
      </c>
      <c r="L66" s="284">
        <v>16.87</v>
      </c>
      <c r="M66" s="258">
        <v>20.47</v>
      </c>
      <c r="N66" s="255">
        <v>20.93</v>
      </c>
      <c r="O66" s="284">
        <v>20.7</v>
      </c>
      <c r="P66" s="255">
        <v>18.48</v>
      </c>
      <c r="Q66" s="260">
        <v>19.03</v>
      </c>
      <c r="R66" s="287">
        <v>18.760000000000002</v>
      </c>
      <c r="S66" s="170">
        <v>20.76</v>
      </c>
      <c r="T66" s="171">
        <v>19.75</v>
      </c>
      <c r="U66" s="170">
        <v>19.25</v>
      </c>
      <c r="V66" s="171">
        <v>17.079999999999998</v>
      </c>
      <c r="W66" s="172">
        <v>18.45</v>
      </c>
      <c r="X66" s="253">
        <v>18.04160066770315</v>
      </c>
      <c r="Y66" s="89" t="e">
        <f>10^((#REF!-C$2)/D$2)</f>
        <v>#REF!</v>
      </c>
      <c r="Z66" s="89" t="e">
        <f>10^((#REF!-C$3)/D$3)</f>
        <v>#REF!</v>
      </c>
      <c r="AA66" s="89" t="e">
        <f>10^((#REF!-C$5)/D$5)</f>
        <v>#REF!</v>
      </c>
      <c r="AB66" s="89" t="e">
        <f>10^((#REF!-C$6)/D$6)</f>
        <v>#REF!</v>
      </c>
      <c r="AC66" s="89" t="e">
        <f>10^((#REF!-C$4)/D$4)</f>
        <v>#REF!</v>
      </c>
      <c r="AD66" s="89">
        <f t="shared" si="15"/>
        <v>101.61990226877603</v>
      </c>
      <c r="AE66" s="89">
        <f t="shared" si="29"/>
        <v>1.4937008783074113</v>
      </c>
      <c r="AF66" s="89">
        <f t="shared" si="16"/>
        <v>218.32616861742852</v>
      </c>
      <c r="AG66" s="89">
        <f t="shared" si="17"/>
        <v>2033.1399532521705</v>
      </c>
      <c r="AH66" s="89">
        <f t="shared" si="18"/>
        <v>152.33476030840038</v>
      </c>
      <c r="AI66" s="71" t="e">
        <f t="shared" si="19"/>
        <v>#REF!</v>
      </c>
      <c r="AJ66" s="71" t="e">
        <f t="shared" si="20"/>
        <v>#REF!</v>
      </c>
      <c r="AK66" s="71" t="e">
        <f t="shared" si="21"/>
        <v>#REF!</v>
      </c>
      <c r="AL66" s="71" t="e">
        <f t="shared" si="22"/>
        <v>#REF!</v>
      </c>
      <c r="AM66" s="71" t="e">
        <f t="shared" si="23"/>
        <v>#REF!</v>
      </c>
      <c r="AN66" s="71">
        <f t="shared" si="24"/>
        <v>858522799470.49548</v>
      </c>
      <c r="AO66" s="71">
        <f t="shared" si="25"/>
        <v>10324915850.742918</v>
      </c>
      <c r="AP66" s="71">
        <f t="shared" si="26"/>
        <v>1794649450469.7712</v>
      </c>
      <c r="AQ66" s="71">
        <f t="shared" si="27"/>
        <v>15205624439250.584</v>
      </c>
      <c r="AR66" s="71">
        <f t="shared" si="28"/>
        <v>1447853419471.5706</v>
      </c>
    </row>
    <row r="67" spans="1:44" hidden="1" x14ac:dyDescent="0.25">
      <c r="A67" s="180" t="s">
        <v>33</v>
      </c>
      <c r="B67" s="191" t="s">
        <v>147</v>
      </c>
      <c r="C67" s="188" t="s">
        <v>15</v>
      </c>
      <c r="D67" s="277">
        <v>20.11</v>
      </c>
      <c r="E67" s="257">
        <v>20.37</v>
      </c>
      <c r="F67" s="282">
        <v>20.239999999999998</v>
      </c>
      <c r="G67" s="257">
        <v>21.01</v>
      </c>
      <c r="H67" s="259">
        <v>20.64</v>
      </c>
      <c r="I67" s="282">
        <v>20.82</v>
      </c>
      <c r="J67" s="257">
        <v>22.22</v>
      </c>
      <c r="K67" s="256">
        <v>22.24</v>
      </c>
      <c r="L67" s="285">
        <v>22.23</v>
      </c>
      <c r="M67" s="259">
        <v>26.37</v>
      </c>
      <c r="N67" s="256">
        <v>26.57</v>
      </c>
      <c r="O67" s="285">
        <v>26.47</v>
      </c>
      <c r="P67" s="256">
        <v>21.73</v>
      </c>
      <c r="Q67" s="278">
        <v>22.27</v>
      </c>
      <c r="R67" s="288">
        <v>22</v>
      </c>
      <c r="S67" s="175">
        <v>26.71</v>
      </c>
      <c r="T67" s="176">
        <v>24.01</v>
      </c>
      <c r="U67" s="175">
        <v>24.18</v>
      </c>
      <c r="V67" s="176">
        <v>23.17</v>
      </c>
      <c r="W67" s="177">
        <v>25.59</v>
      </c>
      <c r="X67" s="254">
        <v>18.983810379077148</v>
      </c>
      <c r="Y67" s="90" t="e">
        <f>10^((#REF!-C$2)/D$2)</f>
        <v>#REF!</v>
      </c>
      <c r="Z67" s="90" t="e">
        <f>10^((#REF!-C$3)/D$3)</f>
        <v>#REF!</v>
      </c>
      <c r="AA67" s="90" t="e">
        <f>10^((#REF!-C$5)/D$5)</f>
        <v>#REF!</v>
      </c>
      <c r="AB67" s="90" t="e">
        <f>10^((#REF!-C$6)/D$6)</f>
        <v>#REF!</v>
      </c>
      <c r="AC67" s="90" t="e">
        <f>10^((#REF!-C$4)/D$4)</f>
        <v>#REF!</v>
      </c>
      <c r="AD67" s="90">
        <f t="shared" si="15"/>
        <v>1.891579759720321</v>
      </c>
      <c r="AE67" s="90">
        <f t="shared" si="29"/>
        <v>1.6089270883046516</v>
      </c>
      <c r="AF67" s="90">
        <f t="shared" si="16"/>
        <v>6.1212313091287438</v>
      </c>
      <c r="AG67" s="90">
        <f t="shared" si="17"/>
        <v>39.713071987033217</v>
      </c>
      <c r="AH67" s="90">
        <f t="shared" si="18"/>
        <v>0.95898668453989466</v>
      </c>
      <c r="AI67" s="72" t="e">
        <f t="shared" si="19"/>
        <v>#REF!</v>
      </c>
      <c r="AJ67" s="72" t="e">
        <f t="shared" si="20"/>
        <v>#REF!</v>
      </c>
      <c r="AK67" s="72" t="e">
        <f t="shared" si="21"/>
        <v>#REF!</v>
      </c>
      <c r="AL67" s="72" t="e">
        <f t="shared" si="22"/>
        <v>#REF!</v>
      </c>
      <c r="AM67" s="72" t="e">
        <f t="shared" si="23"/>
        <v>#REF!</v>
      </c>
      <c r="AN67" s="72">
        <f t="shared" si="24"/>
        <v>15980770641.183744</v>
      </c>
      <c r="AO67" s="72">
        <f t="shared" si="25"/>
        <v>11121394542.895559</v>
      </c>
      <c r="AP67" s="72">
        <f t="shared" si="26"/>
        <v>50316755314.732857</v>
      </c>
      <c r="AQ67" s="72">
        <f t="shared" si="27"/>
        <v>297009587066.46051</v>
      </c>
      <c r="AR67" s="72">
        <f t="shared" si="28"/>
        <v>9114611449.3359299</v>
      </c>
    </row>
    <row r="68" spans="1:44" hidden="1" x14ac:dyDescent="0.25">
      <c r="A68" s="3"/>
      <c r="B68" s="7"/>
      <c r="C68" s="9" t="s">
        <v>148</v>
      </c>
      <c r="D68" s="268"/>
      <c r="E68" s="268"/>
      <c r="F68" s="268"/>
      <c r="G68" s="268"/>
      <c r="H68" s="268"/>
      <c r="I68" s="268"/>
      <c r="J68" s="268"/>
      <c r="K68" s="268"/>
      <c r="L68" s="268"/>
      <c r="M68" s="268"/>
      <c r="N68" s="268"/>
      <c r="O68" s="268"/>
      <c r="P68" s="10" t="e">
        <f>_xlfn.STDEV.S(#REF!)</f>
        <v>#REF!</v>
      </c>
      <c r="Q68" s="10" t="e">
        <f>_xlfn.STDEV.S(#REF!)</f>
        <v>#REF!</v>
      </c>
      <c r="R68" s="10" t="e">
        <f>_xlfn.STDEV.S(#REF!)</f>
        <v>#REF!</v>
      </c>
      <c r="S68" s="10">
        <f t="shared" ref="S68:W68" si="30">_xlfn.STDEV.S(S14:S67)</f>
        <v>4.1563996651069459</v>
      </c>
      <c r="T68" s="10">
        <f t="shared" si="30"/>
        <v>2.9202251248617861</v>
      </c>
      <c r="U68" s="10">
        <f t="shared" si="30"/>
        <v>3.3324226219219444</v>
      </c>
      <c r="V68" s="10">
        <f t="shared" si="30"/>
        <v>4.8678119039620755</v>
      </c>
      <c r="W68" s="10">
        <f t="shared" si="30"/>
        <v>4.0946512126747452</v>
      </c>
      <c r="X68" s="96"/>
    </row>
    <row r="72" spans="1:44" x14ac:dyDescent="0.25">
      <c r="P72" s="195"/>
      <c r="U72" s="269"/>
    </row>
    <row r="73" spans="1:44" x14ac:dyDescent="0.25">
      <c r="U73" s="246"/>
    </row>
    <row r="74" spans="1:44" x14ac:dyDescent="0.25">
      <c r="U74" s="246"/>
      <c r="AF74" s="192"/>
    </row>
    <row r="75" spans="1:44" x14ac:dyDescent="0.25">
      <c r="A75" s="197"/>
      <c r="U75" s="246"/>
      <c r="V75" s="193"/>
      <c r="W75" s="193"/>
      <c r="X75" s="194"/>
      <c r="Y75" s="194"/>
      <c r="Z75" s="194"/>
      <c r="AA75" s="194"/>
      <c r="AB75" s="194"/>
      <c r="AC75" s="194"/>
      <c r="AD75" s="194"/>
      <c r="AE75" s="194"/>
      <c r="AF75" s="194"/>
      <c r="AG75" s="194"/>
      <c r="AH75" s="194"/>
      <c r="AI75" s="194"/>
      <c r="AJ75" s="194"/>
      <c r="AK75" s="194"/>
      <c r="AL75" s="194"/>
      <c r="AM75" s="194"/>
      <c r="AN75" s="194"/>
      <c r="AO75" s="194"/>
      <c r="AP75" s="194"/>
      <c r="AQ75" s="194"/>
    </row>
    <row r="76" spans="1:44" x14ac:dyDescent="0.25">
      <c r="A76" s="4"/>
      <c r="U76" s="246"/>
      <c r="V76" s="2"/>
      <c r="W76" s="2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6"/>
      <c r="AI76" s="196"/>
      <c r="AJ76" s="196"/>
      <c r="AK76" s="196"/>
      <c r="AL76" s="196"/>
      <c r="AM76" s="196"/>
      <c r="AN76" s="196"/>
      <c r="AO76" s="196"/>
      <c r="AP76" s="196"/>
      <c r="AQ76" s="196"/>
    </row>
    <row r="77" spans="1:44" x14ac:dyDescent="0.25">
      <c r="A77" s="4"/>
      <c r="U77" s="246"/>
      <c r="V77" s="2"/>
      <c r="W77" s="2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6"/>
      <c r="AI77" s="196"/>
      <c r="AJ77" s="196"/>
      <c r="AK77" s="196"/>
      <c r="AL77" s="196"/>
      <c r="AM77" s="196"/>
      <c r="AN77" s="196"/>
      <c r="AO77" s="196"/>
      <c r="AP77" s="196"/>
      <c r="AQ77" s="196"/>
    </row>
    <row r="78" spans="1:44" x14ac:dyDescent="0.25">
      <c r="A78" s="4"/>
      <c r="U78" s="246"/>
      <c r="V78" s="2"/>
      <c r="W78" s="2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6"/>
      <c r="AI78" s="196"/>
      <c r="AJ78" s="196"/>
      <c r="AK78" s="196"/>
      <c r="AL78" s="196"/>
      <c r="AM78" s="196"/>
      <c r="AN78" s="196"/>
      <c r="AO78" s="196"/>
      <c r="AP78" s="196"/>
      <c r="AQ78" s="196"/>
    </row>
    <row r="79" spans="1:44" x14ac:dyDescent="0.25">
      <c r="A79" s="4"/>
      <c r="U79" s="246"/>
      <c r="V79" s="2"/>
      <c r="W79" s="2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</row>
    <row r="80" spans="1:44" x14ac:dyDescent="0.25">
      <c r="A80" s="4"/>
      <c r="U80" s="246"/>
      <c r="V80" s="2"/>
      <c r="W80" s="2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6"/>
      <c r="AI80" s="196"/>
      <c r="AJ80" s="196"/>
      <c r="AK80" s="196"/>
      <c r="AL80" s="196"/>
      <c r="AM80" s="196"/>
      <c r="AN80" s="196"/>
      <c r="AO80" s="196"/>
      <c r="AP80" s="196"/>
      <c r="AQ80" s="196"/>
    </row>
    <row r="81" spans="1:43" x14ac:dyDescent="0.25">
      <c r="A81" s="4"/>
      <c r="U81" s="246"/>
      <c r="V81" s="2"/>
      <c r="W81" s="2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6"/>
      <c r="AI81" s="196"/>
      <c r="AJ81" s="196"/>
      <c r="AK81" s="196"/>
      <c r="AL81" s="196"/>
      <c r="AM81" s="196"/>
      <c r="AN81" s="196"/>
      <c r="AO81" s="196"/>
      <c r="AP81" s="196"/>
      <c r="AQ81" s="196"/>
    </row>
    <row r="82" spans="1:43" x14ac:dyDescent="0.25">
      <c r="A82" s="4"/>
      <c r="U82" s="246"/>
    </row>
    <row r="83" spans="1:43" x14ac:dyDescent="0.25">
      <c r="A83" s="4"/>
      <c r="U83" s="246"/>
    </row>
    <row r="84" spans="1:43" x14ac:dyDescent="0.25">
      <c r="A84" s="4"/>
      <c r="U84" s="246"/>
    </row>
    <row r="85" spans="1:43" x14ac:dyDescent="0.25">
      <c r="A85" s="4"/>
      <c r="U85" s="246"/>
    </row>
    <row r="86" spans="1:43" x14ac:dyDescent="0.25">
      <c r="A86" s="4"/>
      <c r="U86" s="246"/>
    </row>
    <row r="87" spans="1:43" x14ac:dyDescent="0.25">
      <c r="A87" s="4"/>
      <c r="U87" s="246"/>
    </row>
    <row r="88" spans="1:43" x14ac:dyDescent="0.25">
      <c r="U88" s="246"/>
    </row>
    <row r="89" spans="1:43" x14ac:dyDescent="0.25">
      <c r="U89" s="246"/>
    </row>
    <row r="90" spans="1:43" x14ac:dyDescent="0.25">
      <c r="U90" s="246"/>
    </row>
    <row r="91" spans="1:43" x14ac:dyDescent="0.25">
      <c r="U91" s="246"/>
    </row>
    <row r="92" spans="1:43" x14ac:dyDescent="0.25">
      <c r="U92" s="246"/>
    </row>
    <row r="93" spans="1:43" x14ac:dyDescent="0.25">
      <c r="U93" s="246"/>
    </row>
    <row r="94" spans="1:43" x14ac:dyDescent="0.25">
      <c r="U94" s="246"/>
    </row>
    <row r="95" spans="1:43" x14ac:dyDescent="0.25">
      <c r="U95" s="246"/>
    </row>
    <row r="96" spans="1:43" x14ac:dyDescent="0.25">
      <c r="U96" s="246"/>
    </row>
    <row r="97" spans="21:21" x14ac:dyDescent="0.25">
      <c r="U97" s="246"/>
    </row>
    <row r="98" spans="21:21" x14ac:dyDescent="0.25">
      <c r="U98" s="246"/>
    </row>
    <row r="99" spans="21:21" x14ac:dyDescent="0.25">
      <c r="U99" s="246"/>
    </row>
    <row r="100" spans="21:21" x14ac:dyDescent="0.25">
      <c r="U100" s="246"/>
    </row>
    <row r="101" spans="21:21" x14ac:dyDescent="0.25">
      <c r="U101" s="246"/>
    </row>
    <row r="102" spans="21:21" x14ac:dyDescent="0.25">
      <c r="U102" s="246"/>
    </row>
    <row r="103" spans="21:21" x14ac:dyDescent="0.25">
      <c r="U103" s="246"/>
    </row>
    <row r="104" spans="21:21" x14ac:dyDescent="0.25">
      <c r="U104" s="246"/>
    </row>
    <row r="105" spans="21:21" x14ac:dyDescent="0.25">
      <c r="U105" s="246"/>
    </row>
    <row r="106" spans="21:21" x14ac:dyDescent="0.25">
      <c r="U106" s="246"/>
    </row>
    <row r="107" spans="21:21" x14ac:dyDescent="0.25">
      <c r="U107" s="246"/>
    </row>
    <row r="108" spans="21:21" x14ac:dyDescent="0.25">
      <c r="U108" s="246"/>
    </row>
    <row r="109" spans="21:21" x14ac:dyDescent="0.25">
      <c r="U109" s="246"/>
    </row>
    <row r="110" spans="21:21" x14ac:dyDescent="0.25">
      <c r="U110" s="246"/>
    </row>
    <row r="111" spans="21:21" x14ac:dyDescent="0.25">
      <c r="U111" s="246"/>
    </row>
    <row r="112" spans="21:21" x14ac:dyDescent="0.25">
      <c r="U112" s="246"/>
    </row>
    <row r="113" spans="21:21" x14ac:dyDescent="0.25">
      <c r="U113" s="246"/>
    </row>
    <row r="114" spans="21:21" x14ac:dyDescent="0.25">
      <c r="U114" s="246"/>
    </row>
    <row r="115" spans="21:21" x14ac:dyDescent="0.25">
      <c r="U115" s="246"/>
    </row>
    <row r="116" spans="21:21" x14ac:dyDescent="0.25">
      <c r="U116" s="246"/>
    </row>
    <row r="117" spans="21:21" x14ac:dyDescent="0.25">
      <c r="U117" s="246"/>
    </row>
    <row r="118" spans="21:21" x14ac:dyDescent="0.25">
      <c r="U118" s="246"/>
    </row>
    <row r="119" spans="21:21" x14ac:dyDescent="0.25">
      <c r="U119" s="246"/>
    </row>
    <row r="120" spans="21:21" x14ac:dyDescent="0.25">
      <c r="U120" s="246"/>
    </row>
    <row r="121" spans="21:21" x14ac:dyDescent="0.25">
      <c r="U121" s="246"/>
    </row>
    <row r="122" spans="21:21" x14ac:dyDescent="0.25">
      <c r="U122" s="246"/>
    </row>
    <row r="123" spans="21:21" x14ac:dyDescent="0.25">
      <c r="U123" s="246"/>
    </row>
    <row r="124" spans="21:21" x14ac:dyDescent="0.25">
      <c r="U124" s="246"/>
    </row>
    <row r="125" spans="21:21" x14ac:dyDescent="0.25">
      <c r="U125" s="246"/>
    </row>
    <row r="126" spans="21:21" x14ac:dyDescent="0.25">
      <c r="U126" s="246"/>
    </row>
  </sheetData>
  <autoFilter ref="A13:AR68" xr:uid="{00000000-0001-0000-0100-000000000000}">
    <filterColumn colId="1">
      <filters>
        <filter val="Hembra"/>
      </filters>
    </filterColumn>
  </autoFilter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2520-9348-4ABE-ACE3-3A3C33EF117B}">
  <dimension ref="A1:C28"/>
  <sheetViews>
    <sheetView workbookViewId="0">
      <selection sqref="A1:C28"/>
    </sheetView>
  </sheetViews>
  <sheetFormatPr defaultRowHeight="15" x14ac:dyDescent="0.25"/>
  <sheetData>
    <row r="1" spans="1:3" x14ac:dyDescent="0.25">
      <c r="A1" s="67" t="s">
        <v>225</v>
      </c>
      <c r="B1" s="67" t="s">
        <v>237</v>
      </c>
      <c r="C1" s="67" t="s">
        <v>238</v>
      </c>
    </row>
    <row r="2" spans="1:3" x14ac:dyDescent="0.25">
      <c r="A2" t="s">
        <v>215</v>
      </c>
      <c r="B2" t="s">
        <v>105</v>
      </c>
      <c r="C2">
        <v>1.78</v>
      </c>
    </row>
    <row r="3" spans="1:3" x14ac:dyDescent="0.25">
      <c r="A3" t="s">
        <v>216</v>
      </c>
      <c r="B3" t="s">
        <v>105</v>
      </c>
      <c r="C3">
        <v>1.86</v>
      </c>
    </row>
    <row r="4" spans="1:3" x14ac:dyDescent="0.25">
      <c r="A4" t="s">
        <v>220</v>
      </c>
      <c r="B4" t="s">
        <v>105</v>
      </c>
      <c r="C4">
        <v>4.05</v>
      </c>
    </row>
    <row r="5" spans="1:3" x14ac:dyDescent="0.25">
      <c r="A5" t="s">
        <v>217</v>
      </c>
      <c r="B5" t="s">
        <v>105</v>
      </c>
      <c r="C5">
        <v>4.28</v>
      </c>
    </row>
    <row r="6" spans="1:3" x14ac:dyDescent="0.25">
      <c r="A6" t="s">
        <v>122</v>
      </c>
      <c r="B6" t="s">
        <v>105</v>
      </c>
      <c r="C6">
        <v>4.76</v>
      </c>
    </row>
    <row r="7" spans="1:3" x14ac:dyDescent="0.25">
      <c r="A7" t="s">
        <v>95</v>
      </c>
      <c r="B7" t="s">
        <v>105</v>
      </c>
      <c r="C7">
        <v>4.82</v>
      </c>
    </row>
    <row r="8" spans="1:3" x14ac:dyDescent="0.25">
      <c r="A8" t="s">
        <v>218</v>
      </c>
      <c r="B8" t="s">
        <v>105</v>
      </c>
      <c r="C8">
        <v>5.12</v>
      </c>
    </row>
    <row r="9" spans="1:3" x14ac:dyDescent="0.25">
      <c r="A9" t="s">
        <v>219</v>
      </c>
      <c r="B9" t="s">
        <v>105</v>
      </c>
      <c r="C9">
        <v>6.16</v>
      </c>
    </row>
    <row r="10" spans="1:3" x14ac:dyDescent="0.25">
      <c r="A10" t="s">
        <v>101</v>
      </c>
      <c r="B10" t="s">
        <v>105</v>
      </c>
      <c r="C10">
        <v>7.35</v>
      </c>
    </row>
    <row r="11" spans="1:3" x14ac:dyDescent="0.25">
      <c r="A11" t="s">
        <v>219</v>
      </c>
      <c r="B11" t="s">
        <v>229</v>
      </c>
      <c r="C11">
        <v>1.97</v>
      </c>
    </row>
    <row r="12" spans="1:3" x14ac:dyDescent="0.25">
      <c r="A12" t="s">
        <v>95</v>
      </c>
      <c r="B12" t="s">
        <v>229</v>
      </c>
      <c r="C12">
        <v>2.63</v>
      </c>
    </row>
    <row r="13" spans="1:3" x14ac:dyDescent="0.25">
      <c r="A13" t="s">
        <v>215</v>
      </c>
      <c r="B13" t="s">
        <v>229</v>
      </c>
      <c r="C13">
        <v>3.6</v>
      </c>
    </row>
    <row r="14" spans="1:3" x14ac:dyDescent="0.25">
      <c r="A14" t="s">
        <v>216</v>
      </c>
      <c r="B14" t="s">
        <v>229</v>
      </c>
      <c r="C14">
        <v>3.72</v>
      </c>
    </row>
    <row r="15" spans="1:3" x14ac:dyDescent="0.25">
      <c r="A15" t="s">
        <v>217</v>
      </c>
      <c r="B15" t="s">
        <v>229</v>
      </c>
      <c r="C15">
        <v>4.21</v>
      </c>
    </row>
    <row r="16" spans="1:3" x14ac:dyDescent="0.25">
      <c r="A16" t="s">
        <v>222</v>
      </c>
      <c r="B16" t="s">
        <v>229</v>
      </c>
      <c r="C16">
        <v>4.82</v>
      </c>
    </row>
    <row r="17" spans="1:3" x14ac:dyDescent="0.25">
      <c r="A17" t="s">
        <v>218</v>
      </c>
      <c r="B17" t="s">
        <v>229</v>
      </c>
      <c r="C17">
        <v>5.6</v>
      </c>
    </row>
    <row r="18" spans="1:3" x14ac:dyDescent="0.25">
      <c r="A18" t="s">
        <v>122</v>
      </c>
      <c r="B18" t="s">
        <v>229</v>
      </c>
      <c r="C18">
        <v>5.66</v>
      </c>
    </row>
    <row r="19" spans="1:3" x14ac:dyDescent="0.25">
      <c r="A19" t="s">
        <v>101</v>
      </c>
      <c r="B19" t="s">
        <v>229</v>
      </c>
      <c r="C19">
        <v>6.84</v>
      </c>
    </row>
    <row r="20" spans="1:3" x14ac:dyDescent="0.25">
      <c r="A20" t="s">
        <v>222</v>
      </c>
      <c r="B20" t="s">
        <v>104</v>
      </c>
      <c r="C20">
        <v>1.97</v>
      </c>
    </row>
    <row r="21" spans="1:3" x14ac:dyDescent="0.25">
      <c r="A21" t="s">
        <v>217</v>
      </c>
      <c r="B21" t="s">
        <v>104</v>
      </c>
      <c r="C21">
        <v>2.71</v>
      </c>
    </row>
    <row r="22" spans="1:3" x14ac:dyDescent="0.25">
      <c r="A22" t="s">
        <v>95</v>
      </c>
      <c r="B22" t="s">
        <v>104</v>
      </c>
      <c r="C22">
        <v>3.08</v>
      </c>
    </row>
    <row r="23" spans="1:3" x14ac:dyDescent="0.25">
      <c r="A23" t="s">
        <v>219</v>
      </c>
      <c r="B23" t="s">
        <v>104</v>
      </c>
      <c r="C23">
        <v>3.36</v>
      </c>
    </row>
    <row r="24" spans="1:3" x14ac:dyDescent="0.25">
      <c r="A24" t="s">
        <v>216</v>
      </c>
      <c r="B24" t="s">
        <v>104</v>
      </c>
      <c r="C24">
        <v>3.76</v>
      </c>
    </row>
    <row r="25" spans="1:3" x14ac:dyDescent="0.25">
      <c r="A25" t="s">
        <v>122</v>
      </c>
      <c r="B25" t="s">
        <v>104</v>
      </c>
      <c r="C25">
        <v>4.3</v>
      </c>
    </row>
    <row r="26" spans="1:3" x14ac:dyDescent="0.25">
      <c r="A26" t="s">
        <v>215</v>
      </c>
      <c r="B26" t="s">
        <v>104</v>
      </c>
      <c r="C26">
        <v>6</v>
      </c>
    </row>
    <row r="27" spans="1:3" x14ac:dyDescent="0.25">
      <c r="A27" t="s">
        <v>218</v>
      </c>
      <c r="B27" t="s">
        <v>104</v>
      </c>
      <c r="C27">
        <v>6.73</v>
      </c>
    </row>
    <row r="28" spans="1:3" x14ac:dyDescent="0.25">
      <c r="A28" t="s">
        <v>101</v>
      </c>
      <c r="B28" t="s">
        <v>104</v>
      </c>
      <c r="C28">
        <v>8.4499999999999993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U410"/>
  <sheetViews>
    <sheetView topLeftCell="A24" workbookViewId="0">
      <selection activeCell="E11" sqref="E11"/>
    </sheetView>
  </sheetViews>
  <sheetFormatPr defaultColWidth="11.42578125" defaultRowHeight="15" x14ac:dyDescent="0.25"/>
  <sheetData>
    <row r="2" spans="1:34" x14ac:dyDescent="0.25">
      <c r="A2" t="s">
        <v>151</v>
      </c>
      <c r="J2" t="s">
        <v>152</v>
      </c>
      <c r="M2" t="s">
        <v>153</v>
      </c>
      <c r="R2" t="s">
        <v>153</v>
      </c>
      <c r="V2" t="s">
        <v>151</v>
      </c>
      <c r="Y2" t="s">
        <v>162</v>
      </c>
    </row>
    <row r="3" spans="1:34" x14ac:dyDescent="0.25">
      <c r="A3" s="67" t="s">
        <v>105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</row>
    <row r="4" spans="1:34" x14ac:dyDescent="0.25">
      <c r="A4" t="s">
        <v>154</v>
      </c>
      <c r="D4" s="244" t="s">
        <v>155</v>
      </c>
      <c r="E4" s="243" t="s">
        <v>156</v>
      </c>
      <c r="J4" s="244" t="s">
        <v>155</v>
      </c>
      <c r="K4" s="243" t="s">
        <v>157</v>
      </c>
      <c r="M4" s="244" t="s">
        <v>155</v>
      </c>
      <c r="N4" s="243" t="s">
        <v>158</v>
      </c>
      <c r="R4" s="169" t="s">
        <v>225</v>
      </c>
      <c r="S4" s="137" t="s">
        <v>158</v>
      </c>
      <c r="V4" s="169" t="s">
        <v>226</v>
      </c>
      <c r="W4" s="137" t="s">
        <v>227</v>
      </c>
      <c r="Y4" s="169" t="s">
        <v>226</v>
      </c>
      <c r="Z4" s="137" t="s">
        <v>227</v>
      </c>
    </row>
    <row r="5" spans="1:34" x14ac:dyDescent="0.25">
      <c r="A5">
        <v>2</v>
      </c>
      <c r="B5">
        <v>0.1261719</v>
      </c>
      <c r="D5" s="137" t="s">
        <v>79</v>
      </c>
      <c r="E5" s="240">
        <v>0.39205869999999998</v>
      </c>
      <c r="J5" s="137" t="s">
        <v>79</v>
      </c>
      <c r="K5" s="240">
        <v>0.53800000000000003</v>
      </c>
      <c r="M5" s="137" t="s">
        <v>79</v>
      </c>
      <c r="N5" s="240">
        <v>1.57</v>
      </c>
      <c r="R5" s="169" t="s">
        <v>79</v>
      </c>
      <c r="S5" s="137">
        <v>1.78</v>
      </c>
      <c r="V5" s="169"/>
      <c r="W5" s="137"/>
      <c r="Y5" s="169"/>
      <c r="Z5" s="137"/>
    </row>
    <row r="6" spans="1:34" x14ac:dyDescent="0.25">
      <c r="A6">
        <v>3</v>
      </c>
      <c r="B6">
        <v>0.12998580000000001</v>
      </c>
      <c r="D6" s="137" t="s">
        <v>83</v>
      </c>
      <c r="E6" s="240">
        <v>0.39205869999999998</v>
      </c>
      <c r="J6" s="137" t="s">
        <v>102</v>
      </c>
      <c r="K6" s="240">
        <v>0.55100000000000005</v>
      </c>
      <c r="M6" s="137" t="s">
        <v>83</v>
      </c>
      <c r="N6" s="240">
        <v>2.5499999999999998</v>
      </c>
      <c r="R6" s="169" t="s">
        <v>83</v>
      </c>
      <c r="S6" s="137">
        <v>1.86</v>
      </c>
      <c r="V6" s="169" t="s">
        <v>197</v>
      </c>
      <c r="W6" s="137">
        <v>0.39200000000000002</v>
      </c>
      <c r="Y6" s="169" t="s">
        <v>215</v>
      </c>
      <c r="Z6" s="137">
        <v>0.37</v>
      </c>
    </row>
    <row r="7" spans="1:34" x14ac:dyDescent="0.25">
      <c r="A7">
        <v>4</v>
      </c>
      <c r="B7">
        <v>0.1255404</v>
      </c>
      <c r="D7" s="137" t="s">
        <v>159</v>
      </c>
      <c r="E7" s="240">
        <v>0.4147594</v>
      </c>
      <c r="J7" s="137" t="s">
        <v>83</v>
      </c>
      <c r="K7" s="240">
        <v>0.70499999999999996</v>
      </c>
      <c r="M7" s="137" t="s">
        <v>102</v>
      </c>
      <c r="N7" s="240">
        <v>3.46</v>
      </c>
      <c r="R7" s="169" t="s">
        <v>102</v>
      </c>
      <c r="S7" s="137">
        <v>4.05</v>
      </c>
      <c r="V7" s="169" t="s">
        <v>95</v>
      </c>
      <c r="W7" s="137">
        <v>0.41499999999999998</v>
      </c>
      <c r="Y7" s="169" t="s">
        <v>216</v>
      </c>
      <c r="Z7" s="137">
        <v>0.52900000000000003</v>
      </c>
    </row>
    <row r="8" spans="1:34" x14ac:dyDescent="0.25">
      <c r="A8">
        <v>5</v>
      </c>
      <c r="B8">
        <v>0.13731380000000001</v>
      </c>
      <c r="D8" s="137" t="s">
        <v>91</v>
      </c>
      <c r="E8" s="240">
        <v>0.48520619999999998</v>
      </c>
      <c r="J8" s="137" t="s">
        <v>91</v>
      </c>
      <c r="K8" s="240">
        <v>0.83499999999999996</v>
      </c>
      <c r="M8" s="137" t="s">
        <v>91</v>
      </c>
      <c r="N8" s="240">
        <v>4.76</v>
      </c>
      <c r="R8" s="169" t="s">
        <v>91</v>
      </c>
      <c r="S8" s="137">
        <v>4.28</v>
      </c>
      <c r="V8" s="169" t="s">
        <v>91</v>
      </c>
      <c r="W8" s="137">
        <v>0.48499999999999999</v>
      </c>
      <c r="Y8" s="169" t="s">
        <v>222</v>
      </c>
      <c r="Z8" s="137">
        <v>0.55400000000000005</v>
      </c>
    </row>
    <row r="9" spans="1:34" x14ac:dyDescent="0.25">
      <c r="A9">
        <v>6</v>
      </c>
      <c r="B9">
        <v>0.19088939999999999</v>
      </c>
      <c r="D9" s="137" t="s">
        <v>150</v>
      </c>
      <c r="E9" s="240">
        <v>0.5689881</v>
      </c>
      <c r="J9" s="137" t="s">
        <v>149</v>
      </c>
      <c r="K9" s="240">
        <v>0.84699999999999998</v>
      </c>
      <c r="M9" s="137" t="s">
        <v>160</v>
      </c>
      <c r="N9" s="240">
        <v>5.2</v>
      </c>
      <c r="R9" s="169" t="s">
        <v>122</v>
      </c>
      <c r="S9" s="137">
        <v>4.76</v>
      </c>
      <c r="V9" s="290" t="s">
        <v>228</v>
      </c>
      <c r="W9" s="137">
        <v>0.56899999999999995</v>
      </c>
      <c r="Y9" s="169" t="s">
        <v>217</v>
      </c>
      <c r="Z9" s="137">
        <v>0.69099999999999995</v>
      </c>
    </row>
    <row r="10" spans="1:34" x14ac:dyDescent="0.25">
      <c r="A10">
        <v>7</v>
      </c>
      <c r="B10">
        <v>0.1728983</v>
      </c>
      <c r="D10" s="137" t="s">
        <v>102</v>
      </c>
      <c r="E10" s="240">
        <v>0.6756394</v>
      </c>
      <c r="J10" s="137" t="s">
        <v>95</v>
      </c>
      <c r="K10" s="240">
        <v>0.95</v>
      </c>
      <c r="M10" s="137" t="s">
        <v>149</v>
      </c>
      <c r="N10" s="240">
        <v>5.21</v>
      </c>
      <c r="R10" s="169" t="s">
        <v>95</v>
      </c>
      <c r="S10" s="137">
        <v>4.82</v>
      </c>
      <c r="V10" s="169" t="s">
        <v>222</v>
      </c>
      <c r="W10" s="137">
        <v>0.67600000000000005</v>
      </c>
      <c r="Y10" s="169" t="s">
        <v>95</v>
      </c>
      <c r="Z10" s="137">
        <v>0.78100000000000003</v>
      </c>
    </row>
    <row r="11" spans="1:34" x14ac:dyDescent="0.25">
      <c r="A11">
        <v>8</v>
      </c>
      <c r="B11">
        <v>0.2</v>
      </c>
      <c r="D11" s="137" t="s">
        <v>93</v>
      </c>
      <c r="E11" s="240">
        <v>0.88464889999999996</v>
      </c>
      <c r="J11" s="137" t="s">
        <v>150</v>
      </c>
      <c r="K11" s="240">
        <v>0.97499999999999998</v>
      </c>
      <c r="M11" s="137" t="s">
        <v>95</v>
      </c>
      <c r="N11" s="240">
        <v>5.48</v>
      </c>
      <c r="R11" s="169" t="s">
        <v>149</v>
      </c>
      <c r="S11" s="137">
        <v>5.12</v>
      </c>
      <c r="V11" s="169" t="s">
        <v>149</v>
      </c>
      <c r="W11" s="137">
        <v>0.88500000000000001</v>
      </c>
      <c r="Y11" s="290" t="s">
        <v>228</v>
      </c>
      <c r="Z11" s="137">
        <v>0.84699999999999998</v>
      </c>
    </row>
    <row r="12" spans="1:34" x14ac:dyDescent="0.25">
      <c r="D12" s="137" t="s">
        <v>122</v>
      </c>
      <c r="E12" s="240">
        <v>1.0237046999999999</v>
      </c>
      <c r="J12" s="137" t="s">
        <v>122</v>
      </c>
      <c r="K12" s="240">
        <v>1.069</v>
      </c>
      <c r="M12" s="137" t="s">
        <v>122</v>
      </c>
      <c r="N12" s="240">
        <v>5.66</v>
      </c>
      <c r="R12" s="169" t="s">
        <v>150</v>
      </c>
      <c r="S12" s="137">
        <v>6.16</v>
      </c>
      <c r="V12" s="169" t="s">
        <v>122</v>
      </c>
      <c r="W12" s="137">
        <v>1.024</v>
      </c>
      <c r="Y12" s="169" t="s">
        <v>218</v>
      </c>
      <c r="Z12" s="137">
        <v>1.008</v>
      </c>
    </row>
    <row r="13" spans="1:34" x14ac:dyDescent="0.25">
      <c r="D13" s="137" t="s">
        <v>121</v>
      </c>
      <c r="E13" s="240">
        <v>1.1807878000000001</v>
      </c>
      <c r="J13" s="137" t="s">
        <v>160</v>
      </c>
      <c r="K13" s="240">
        <v>1.504</v>
      </c>
      <c r="M13" s="137" t="s">
        <v>150</v>
      </c>
      <c r="N13" s="240">
        <v>6.59</v>
      </c>
      <c r="R13" s="169" t="s">
        <v>101</v>
      </c>
      <c r="S13" s="137">
        <v>7.35</v>
      </c>
      <c r="V13" s="169" t="s">
        <v>101</v>
      </c>
      <c r="W13" s="137">
        <v>1.23</v>
      </c>
      <c r="Y13" s="169" t="s">
        <v>122</v>
      </c>
      <c r="Z13" s="137">
        <v>1.246</v>
      </c>
    </row>
    <row r="14" spans="1:34" x14ac:dyDescent="0.25">
      <c r="D14" s="141" t="s">
        <v>101</v>
      </c>
      <c r="E14" s="241">
        <v>1.3250503</v>
      </c>
      <c r="J14" s="141" t="s">
        <v>101</v>
      </c>
      <c r="K14" s="241">
        <v>1.6779999999999999</v>
      </c>
      <c r="M14" s="141" t="s">
        <v>101</v>
      </c>
      <c r="N14" s="241">
        <v>8.41</v>
      </c>
      <c r="Y14" s="169" t="s">
        <v>101</v>
      </c>
      <c r="Z14" s="137">
        <v>1.794</v>
      </c>
    </row>
    <row r="16" spans="1:34" x14ac:dyDescent="0.25">
      <c r="A16" s="302"/>
    </row>
    <row r="17" spans="1:25" x14ac:dyDescent="0.25">
      <c r="A17" s="302"/>
    </row>
    <row r="18" spans="1:25" x14ac:dyDescent="0.25">
      <c r="A18" s="303"/>
    </row>
    <row r="19" spans="1:25" x14ac:dyDescent="0.25">
      <c r="A19" s="68" t="s">
        <v>161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</row>
    <row r="20" spans="1:25" x14ac:dyDescent="0.25">
      <c r="A20" t="s">
        <v>151</v>
      </c>
      <c r="J20" t="s">
        <v>162</v>
      </c>
      <c r="M20" t="s">
        <v>153</v>
      </c>
      <c r="Q20" t="s">
        <v>153</v>
      </c>
      <c r="U20" t="s">
        <v>151</v>
      </c>
      <c r="X20" t="s">
        <v>162</v>
      </c>
    </row>
    <row r="21" spans="1:25" x14ac:dyDescent="0.25">
      <c r="A21" t="s">
        <v>154</v>
      </c>
      <c r="D21" s="244" t="s">
        <v>155</v>
      </c>
      <c r="E21" s="243" t="s">
        <v>156</v>
      </c>
      <c r="I21" s="244" t="s">
        <v>163</v>
      </c>
      <c r="J21" s="243" t="s">
        <v>157</v>
      </c>
      <c r="M21" s="242" t="s">
        <v>155</v>
      </c>
      <c r="N21" s="244" t="s">
        <v>158</v>
      </c>
      <c r="Q21" s="242" t="s">
        <v>225</v>
      </c>
      <c r="R21" s="244" t="s">
        <v>158</v>
      </c>
      <c r="U21" s="169" t="s">
        <v>226</v>
      </c>
      <c r="V21" s="137" t="s">
        <v>227</v>
      </c>
      <c r="X21" s="169" t="s">
        <v>226</v>
      </c>
      <c r="Y21" s="137" t="s">
        <v>227</v>
      </c>
    </row>
    <row r="22" spans="1:25" x14ac:dyDescent="0.25">
      <c r="A22">
        <v>2</v>
      </c>
      <c r="B22">
        <v>0.35604000000000002</v>
      </c>
      <c r="D22" s="137" t="s">
        <v>83</v>
      </c>
      <c r="E22" s="240">
        <v>0.62842469999999995</v>
      </c>
      <c r="I22" s="137" t="s">
        <v>150</v>
      </c>
      <c r="J22" s="240">
        <v>1.159</v>
      </c>
      <c r="M22" s="169" t="s">
        <v>150</v>
      </c>
      <c r="N22" s="137">
        <v>2.11</v>
      </c>
      <c r="Q22" s="169" t="s">
        <v>150</v>
      </c>
      <c r="R22" s="137">
        <v>1.97</v>
      </c>
      <c r="U22" s="169"/>
      <c r="V22" s="137"/>
      <c r="X22" s="169"/>
      <c r="Y22" s="137"/>
    </row>
    <row r="23" spans="1:25" x14ac:dyDescent="0.25">
      <c r="A23">
        <v>3</v>
      </c>
      <c r="B23">
        <v>0.28906520000000002</v>
      </c>
      <c r="D23" s="137" t="s">
        <v>91</v>
      </c>
      <c r="E23" s="240">
        <v>0.62842469999999995</v>
      </c>
      <c r="I23" s="137" t="s">
        <v>149</v>
      </c>
      <c r="J23" s="240">
        <v>1.3620000000000001</v>
      </c>
      <c r="M23" s="169" t="s">
        <v>95</v>
      </c>
      <c r="N23" s="137">
        <v>3.03</v>
      </c>
      <c r="Q23" s="169" t="s">
        <v>95</v>
      </c>
      <c r="R23" s="137">
        <v>2.63</v>
      </c>
      <c r="U23" s="169" t="s">
        <v>193</v>
      </c>
      <c r="V23" s="137">
        <v>0.628</v>
      </c>
      <c r="X23" s="290" t="s">
        <v>228</v>
      </c>
      <c r="Y23" s="137">
        <v>1.089</v>
      </c>
    </row>
    <row r="24" spans="1:25" x14ac:dyDescent="0.25">
      <c r="A24">
        <v>4</v>
      </c>
      <c r="B24">
        <v>0.32956600000000003</v>
      </c>
      <c r="D24" s="137" t="s">
        <v>79</v>
      </c>
      <c r="E24" s="240">
        <v>0.94713530000000001</v>
      </c>
      <c r="I24" s="137" t="s">
        <v>95</v>
      </c>
      <c r="J24" s="240">
        <v>1.399</v>
      </c>
      <c r="M24" s="169" t="s">
        <v>149</v>
      </c>
      <c r="N24" s="137">
        <v>4.09</v>
      </c>
      <c r="Q24" s="169" t="s">
        <v>79</v>
      </c>
      <c r="R24" s="137">
        <v>3.6</v>
      </c>
      <c r="U24" s="169" t="s">
        <v>215</v>
      </c>
      <c r="V24" s="137">
        <v>0.94699999999999995</v>
      </c>
      <c r="X24" s="169" t="s">
        <v>95</v>
      </c>
      <c r="Y24" s="137">
        <v>1.236</v>
      </c>
    </row>
    <row r="25" spans="1:25" x14ac:dyDescent="0.25">
      <c r="A25">
        <v>5</v>
      </c>
      <c r="B25">
        <v>0.31481019999999998</v>
      </c>
      <c r="D25" s="137" t="s">
        <v>95</v>
      </c>
      <c r="E25" s="240">
        <v>1.1164859</v>
      </c>
      <c r="I25" s="137" t="s">
        <v>102</v>
      </c>
      <c r="J25" s="240">
        <v>1.405</v>
      </c>
      <c r="M25" s="169" t="s">
        <v>83</v>
      </c>
      <c r="N25" s="137">
        <v>4.24</v>
      </c>
      <c r="Q25" s="169" t="s">
        <v>83</v>
      </c>
      <c r="R25" s="137">
        <v>3.72</v>
      </c>
      <c r="U25" s="169" t="s">
        <v>95</v>
      </c>
      <c r="V25" s="137">
        <v>1.1160000000000001</v>
      </c>
      <c r="X25" s="169" t="s">
        <v>102</v>
      </c>
      <c r="Y25" s="137">
        <v>1.3109999999999999</v>
      </c>
    </row>
    <row r="26" spans="1:25" x14ac:dyDescent="0.25">
      <c r="A26">
        <v>6</v>
      </c>
      <c r="B26">
        <v>0.31309350000000002</v>
      </c>
      <c r="D26" s="137" t="s">
        <v>150</v>
      </c>
      <c r="E26" s="240">
        <v>1.3752625999999999</v>
      </c>
      <c r="I26" s="137" t="s">
        <v>79</v>
      </c>
      <c r="J26" s="240">
        <v>1.5009999999999999</v>
      </c>
      <c r="M26" s="169" t="s">
        <v>79</v>
      </c>
      <c r="N26" s="137">
        <v>4.3600000000000003</v>
      </c>
      <c r="Q26" s="169" t="s">
        <v>91</v>
      </c>
      <c r="R26" s="137">
        <v>4.21</v>
      </c>
      <c r="U26" s="290" t="s">
        <v>228</v>
      </c>
      <c r="V26" s="137">
        <v>1.375</v>
      </c>
      <c r="X26" s="169" t="s">
        <v>79</v>
      </c>
      <c r="Y26" s="137">
        <v>1.323</v>
      </c>
    </row>
    <row r="27" spans="1:25" x14ac:dyDescent="0.25">
      <c r="A27">
        <v>7</v>
      </c>
      <c r="B27">
        <v>0.38397239999999999</v>
      </c>
      <c r="D27" s="137" t="s">
        <v>102</v>
      </c>
      <c r="E27" s="240">
        <v>1.6138091999999999</v>
      </c>
      <c r="I27" s="137" t="s">
        <v>83</v>
      </c>
      <c r="J27" s="240">
        <v>1.9330000000000001</v>
      </c>
      <c r="M27" s="169" t="s">
        <v>91</v>
      </c>
      <c r="N27" s="137">
        <v>4.7</v>
      </c>
      <c r="Q27" s="169" t="s">
        <v>102</v>
      </c>
      <c r="R27" s="137">
        <v>4.82</v>
      </c>
      <c r="U27" s="169" t="s">
        <v>222</v>
      </c>
      <c r="V27" s="137">
        <v>1.6140000000000001</v>
      </c>
      <c r="X27" s="169" t="s">
        <v>149</v>
      </c>
      <c r="Y27" s="137">
        <v>1.581</v>
      </c>
    </row>
    <row r="28" spans="1:25" x14ac:dyDescent="0.25">
      <c r="A28">
        <v>8</v>
      </c>
      <c r="B28">
        <v>0.39395039999999998</v>
      </c>
      <c r="D28" s="137" t="s">
        <v>93</v>
      </c>
      <c r="E28" s="240">
        <v>1.8491131999999999</v>
      </c>
      <c r="I28" s="137" t="s">
        <v>91</v>
      </c>
      <c r="J28" s="240">
        <v>1.9610000000000001</v>
      </c>
      <c r="M28" s="169" t="s">
        <v>121</v>
      </c>
      <c r="N28" s="137">
        <v>4.76</v>
      </c>
      <c r="Q28" s="169" t="s">
        <v>149</v>
      </c>
      <c r="R28" s="137">
        <v>5.6</v>
      </c>
      <c r="U28" s="169" t="s">
        <v>218</v>
      </c>
      <c r="V28" s="137">
        <v>1.849</v>
      </c>
      <c r="X28" s="169" t="s">
        <v>83</v>
      </c>
      <c r="Y28" s="137">
        <v>1.7290000000000001</v>
      </c>
    </row>
    <row r="29" spans="1:25" x14ac:dyDescent="0.25">
      <c r="D29" s="137" t="s">
        <v>160</v>
      </c>
      <c r="E29" s="240">
        <v>2.1295217000000002</v>
      </c>
      <c r="I29" s="137" t="s">
        <v>121</v>
      </c>
      <c r="J29" s="240">
        <v>2.1880000000000002</v>
      </c>
      <c r="M29" s="169" t="s">
        <v>102</v>
      </c>
      <c r="N29" s="137">
        <v>5.18</v>
      </c>
      <c r="Q29" s="169" t="s">
        <v>122</v>
      </c>
      <c r="R29" s="137">
        <v>5.66</v>
      </c>
      <c r="U29" s="169" t="s">
        <v>122</v>
      </c>
      <c r="V29" s="137">
        <v>2.2029999999999998</v>
      </c>
      <c r="X29" s="169" t="s">
        <v>91</v>
      </c>
      <c r="Y29" s="137">
        <v>1.7849999999999999</v>
      </c>
    </row>
    <row r="30" spans="1:25" x14ac:dyDescent="0.25">
      <c r="D30" s="137" t="s">
        <v>122</v>
      </c>
      <c r="E30" s="240">
        <v>2.3559804999999998</v>
      </c>
      <c r="I30" s="137" t="s">
        <v>122</v>
      </c>
      <c r="J30" s="240">
        <v>2.5609999999999999</v>
      </c>
      <c r="M30" s="169" t="s">
        <v>122</v>
      </c>
      <c r="N30" s="137">
        <v>6.84</v>
      </c>
      <c r="Q30" s="169" t="s">
        <v>101</v>
      </c>
      <c r="R30" s="137">
        <v>6.84</v>
      </c>
      <c r="U30" s="169" t="s">
        <v>101</v>
      </c>
      <c r="V30" s="137">
        <v>2.5649999999999999</v>
      </c>
      <c r="X30" s="169" t="s">
        <v>122</v>
      </c>
      <c r="Y30" s="137">
        <v>2.722</v>
      </c>
    </row>
    <row r="31" spans="1:25" x14ac:dyDescent="0.25">
      <c r="D31" s="141" t="s">
        <v>101</v>
      </c>
      <c r="E31" s="241">
        <v>2.6244770000000002</v>
      </c>
      <c r="I31" s="141" t="s">
        <v>101</v>
      </c>
      <c r="J31" s="241">
        <v>3.3109999999999999</v>
      </c>
      <c r="M31" s="174" t="s">
        <v>101</v>
      </c>
      <c r="N31" s="141">
        <v>7.95</v>
      </c>
      <c r="X31" s="169" t="s">
        <v>101</v>
      </c>
      <c r="Y31" s="137">
        <v>3.496</v>
      </c>
    </row>
    <row r="32" spans="1:25" x14ac:dyDescent="0.25">
      <c r="A32" s="302"/>
    </row>
    <row r="33" spans="1:25" x14ac:dyDescent="0.25">
      <c r="A33" s="69" t="s">
        <v>164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</row>
    <row r="34" spans="1:25" x14ac:dyDescent="0.25">
      <c r="A34" t="s">
        <v>151</v>
      </c>
      <c r="I34" t="s">
        <v>152</v>
      </c>
      <c r="M34" t="s">
        <v>153</v>
      </c>
      <c r="Q34" t="s">
        <v>153</v>
      </c>
      <c r="U34" t="s">
        <v>151</v>
      </c>
      <c r="X34" s="289" t="s">
        <v>162</v>
      </c>
    </row>
    <row r="35" spans="1:25" x14ac:dyDescent="0.25">
      <c r="A35" t="s">
        <v>154</v>
      </c>
      <c r="D35" s="244" t="s">
        <v>155</v>
      </c>
      <c r="E35" s="243" t="s">
        <v>156</v>
      </c>
      <c r="I35" s="244" t="s">
        <v>163</v>
      </c>
      <c r="J35" s="243" t="s">
        <v>157</v>
      </c>
      <c r="M35" s="244" t="s">
        <v>155</v>
      </c>
      <c r="N35" s="245" t="s">
        <v>158</v>
      </c>
      <c r="Q35" s="244" t="s">
        <v>225</v>
      </c>
      <c r="R35" s="245" t="s">
        <v>158</v>
      </c>
      <c r="U35" s="244" t="s">
        <v>226</v>
      </c>
      <c r="V35" s="245" t="s">
        <v>227</v>
      </c>
      <c r="X35" s="244" t="s">
        <v>226</v>
      </c>
      <c r="Y35" s="245" t="s">
        <v>227</v>
      </c>
    </row>
    <row r="36" spans="1:25" x14ac:dyDescent="0.25">
      <c r="A36">
        <v>2</v>
      </c>
      <c r="B36">
        <v>0.49996970000000002</v>
      </c>
      <c r="D36" s="137" t="s">
        <v>83</v>
      </c>
      <c r="E36" s="240">
        <v>1.0459050000000001</v>
      </c>
      <c r="I36" s="137" t="s">
        <v>102</v>
      </c>
      <c r="J36" s="240">
        <v>1.075</v>
      </c>
      <c r="M36" s="137" t="s">
        <v>102</v>
      </c>
      <c r="N36" s="240">
        <v>2.11</v>
      </c>
      <c r="Q36" s="137" t="s">
        <v>102</v>
      </c>
      <c r="R36" s="240">
        <v>1.97</v>
      </c>
      <c r="U36" s="137"/>
      <c r="V36" s="240"/>
      <c r="X36" s="137"/>
      <c r="Y36" s="240"/>
    </row>
    <row r="37" spans="1:25" x14ac:dyDescent="0.25">
      <c r="A37">
        <v>3</v>
      </c>
      <c r="B37">
        <v>0.41685830000000001</v>
      </c>
      <c r="D37" s="137" t="s">
        <v>91</v>
      </c>
      <c r="E37" s="240">
        <v>1.0459050000000001</v>
      </c>
      <c r="I37" s="137" t="s">
        <v>150</v>
      </c>
      <c r="J37" s="240">
        <v>1.403</v>
      </c>
      <c r="M37" s="137" t="s">
        <v>91</v>
      </c>
      <c r="N37" s="240">
        <v>2.99</v>
      </c>
      <c r="Q37" s="137" t="s">
        <v>91</v>
      </c>
      <c r="R37" s="240">
        <v>2.71</v>
      </c>
      <c r="U37" s="137" t="s">
        <v>193</v>
      </c>
      <c r="V37" s="240">
        <v>1.046</v>
      </c>
      <c r="X37" s="137" t="s">
        <v>222</v>
      </c>
      <c r="Y37" s="240">
        <v>1.0549999999999999</v>
      </c>
    </row>
    <row r="38" spans="1:25" x14ac:dyDescent="0.25">
      <c r="A38">
        <v>4</v>
      </c>
      <c r="B38">
        <v>0.32298009999999999</v>
      </c>
      <c r="D38" s="137" t="s">
        <v>95</v>
      </c>
      <c r="E38" s="240">
        <v>1.398263</v>
      </c>
      <c r="I38" s="137" t="s">
        <v>95</v>
      </c>
      <c r="J38" s="240">
        <v>1.4339999999999999</v>
      </c>
      <c r="M38" s="137" t="s">
        <v>150</v>
      </c>
      <c r="N38" s="240">
        <v>3.13</v>
      </c>
      <c r="Q38" s="137" t="s">
        <v>95</v>
      </c>
      <c r="R38" s="240">
        <v>3.08</v>
      </c>
      <c r="U38" s="137" t="s">
        <v>95</v>
      </c>
      <c r="V38" s="240">
        <v>1.3979999999999999</v>
      </c>
      <c r="X38" s="137" t="s">
        <v>95</v>
      </c>
      <c r="Y38" s="240">
        <v>1.3440000000000001</v>
      </c>
    </row>
    <row r="39" spans="1:25" x14ac:dyDescent="0.25">
      <c r="A39">
        <v>5</v>
      </c>
      <c r="B39">
        <v>0.29504760000000002</v>
      </c>
      <c r="D39" s="137" t="s">
        <v>150</v>
      </c>
      <c r="E39" s="240">
        <v>1.6142178</v>
      </c>
      <c r="I39" s="137" t="s">
        <v>91</v>
      </c>
      <c r="J39" s="240">
        <v>1.4990000000000001</v>
      </c>
      <c r="M39" s="137" t="s">
        <v>95</v>
      </c>
      <c r="N39" s="240">
        <v>3.57</v>
      </c>
      <c r="Q39" s="137" t="s">
        <v>150</v>
      </c>
      <c r="R39" s="240">
        <v>3.36</v>
      </c>
      <c r="U39" s="290" t="s">
        <v>228</v>
      </c>
      <c r="V39" s="240">
        <v>1.6140000000000001</v>
      </c>
      <c r="X39" s="137" t="s">
        <v>217</v>
      </c>
      <c r="Y39" s="240">
        <v>1.345</v>
      </c>
    </row>
    <row r="40" spans="1:25" x14ac:dyDescent="0.25">
      <c r="A40">
        <v>6</v>
      </c>
      <c r="B40">
        <v>0.32513170000000002</v>
      </c>
      <c r="D40" s="137" t="s">
        <v>102</v>
      </c>
      <c r="E40" s="240">
        <v>1.7297750000000001</v>
      </c>
      <c r="I40" s="137" t="s">
        <v>83</v>
      </c>
      <c r="J40" s="240">
        <v>1.712</v>
      </c>
      <c r="M40" s="137" t="s">
        <v>83</v>
      </c>
      <c r="N40" s="240">
        <v>3.87</v>
      </c>
      <c r="Q40" s="137" t="s">
        <v>83</v>
      </c>
      <c r="R40" s="240">
        <v>3.76</v>
      </c>
      <c r="U40" s="169" t="s">
        <v>222</v>
      </c>
      <c r="V40" s="240">
        <v>1.73</v>
      </c>
      <c r="X40" s="290" t="s">
        <v>228</v>
      </c>
      <c r="Y40" s="240">
        <v>1.375</v>
      </c>
    </row>
    <row r="41" spans="1:25" x14ac:dyDescent="0.25">
      <c r="A41">
        <v>7</v>
      </c>
      <c r="B41">
        <v>0.31544149999999999</v>
      </c>
      <c r="D41" s="137" t="s">
        <v>79</v>
      </c>
      <c r="E41" s="240">
        <v>1.8459399999999999</v>
      </c>
      <c r="I41" s="137" t="s">
        <v>122</v>
      </c>
      <c r="J41" s="240">
        <v>1.734</v>
      </c>
      <c r="M41" s="137" t="s">
        <v>121</v>
      </c>
      <c r="N41" s="240">
        <v>4.76</v>
      </c>
      <c r="Q41" s="137" t="s">
        <v>122</v>
      </c>
      <c r="R41" s="240">
        <v>4.3</v>
      </c>
      <c r="U41" s="137" t="s">
        <v>215</v>
      </c>
      <c r="V41" s="240">
        <v>1.8460000000000001</v>
      </c>
      <c r="X41" s="137" t="s">
        <v>216</v>
      </c>
      <c r="Y41" s="240">
        <v>1.5720000000000001</v>
      </c>
    </row>
    <row r="42" spans="1:25" x14ac:dyDescent="0.25">
      <c r="A42">
        <v>8</v>
      </c>
      <c r="B42">
        <v>0.37871250000000001</v>
      </c>
      <c r="D42" s="137" t="s">
        <v>122</v>
      </c>
      <c r="E42" s="240">
        <v>2.0459139999999998</v>
      </c>
      <c r="I42" s="137" t="s">
        <v>79</v>
      </c>
      <c r="J42" s="240">
        <v>1.758</v>
      </c>
      <c r="M42" s="137" t="s">
        <v>122</v>
      </c>
      <c r="N42" s="240">
        <v>4.92</v>
      </c>
      <c r="Q42" s="137" t="s">
        <v>79</v>
      </c>
      <c r="R42" s="240">
        <v>6</v>
      </c>
      <c r="U42" s="137" t="s">
        <v>122</v>
      </c>
      <c r="V42" s="240">
        <v>2.0459999999999998</v>
      </c>
      <c r="X42" s="137" t="s">
        <v>215</v>
      </c>
      <c r="Y42" s="240">
        <v>1.681</v>
      </c>
    </row>
    <row r="43" spans="1:25" x14ac:dyDescent="0.25">
      <c r="D43" s="137" t="s">
        <v>121</v>
      </c>
      <c r="E43" s="240">
        <v>2.2119390000000001</v>
      </c>
      <c r="I43" s="137" t="s">
        <v>121</v>
      </c>
      <c r="J43" s="240">
        <v>2.0819999999999999</v>
      </c>
      <c r="M43" s="137" t="s">
        <v>79</v>
      </c>
      <c r="N43" s="240">
        <v>6.48</v>
      </c>
      <c r="Q43" s="137" t="s">
        <v>149</v>
      </c>
      <c r="R43" s="240">
        <v>6.73</v>
      </c>
      <c r="U43" s="137" t="s">
        <v>218</v>
      </c>
      <c r="V43" s="240">
        <v>2.25</v>
      </c>
      <c r="X43" s="137" t="s">
        <v>122</v>
      </c>
      <c r="Y43" s="240">
        <v>1.9079999999999999</v>
      </c>
    </row>
    <row r="44" spans="1:25" x14ac:dyDescent="0.25">
      <c r="D44" s="137" t="s">
        <v>93</v>
      </c>
      <c r="E44" s="240">
        <v>2.345955</v>
      </c>
      <c r="I44" s="137" t="s">
        <v>149</v>
      </c>
      <c r="J44" s="240">
        <v>2.3359999999999999</v>
      </c>
      <c r="M44" s="137" t="s">
        <v>149</v>
      </c>
      <c r="N44" s="240">
        <v>7.77</v>
      </c>
      <c r="Q44" s="137" t="s">
        <v>101</v>
      </c>
      <c r="R44" s="240">
        <v>8.4499999999999993</v>
      </c>
      <c r="U44" s="137" t="s">
        <v>101</v>
      </c>
      <c r="V44" s="240">
        <v>2.5790000000000002</v>
      </c>
      <c r="X44" s="137" t="s">
        <v>218</v>
      </c>
      <c r="Y44" s="240">
        <v>2.4449999999999998</v>
      </c>
    </row>
    <row r="45" spans="1:25" x14ac:dyDescent="0.25">
      <c r="D45" s="141" t="s">
        <v>101</v>
      </c>
      <c r="E45" s="241">
        <v>2.6188099999999999</v>
      </c>
      <c r="I45" s="141" t="s">
        <v>101</v>
      </c>
      <c r="J45" s="241">
        <v>3.302</v>
      </c>
      <c r="M45" s="141" t="s">
        <v>101</v>
      </c>
      <c r="N45" s="241">
        <v>9.4600000000000009</v>
      </c>
      <c r="X45" s="244" t="s">
        <v>101</v>
      </c>
      <c r="Y45" s="245">
        <v>3.359</v>
      </c>
    </row>
    <row r="47" spans="1:25" s="238" customFormat="1" x14ac:dyDescent="0.25"/>
    <row r="49" spans="1:47" x14ac:dyDescent="0.25">
      <c r="A49" s="239" t="s">
        <v>165</v>
      </c>
      <c r="B49" s="239"/>
      <c r="R49" s="239" t="s">
        <v>165</v>
      </c>
      <c r="S49" s="239"/>
      <c r="AH49" s="239" t="s">
        <v>166</v>
      </c>
      <c r="AI49" s="239"/>
    </row>
    <row r="50" spans="1:47" x14ac:dyDescent="0.25">
      <c r="AH50" s="246" t="s">
        <v>151</v>
      </c>
      <c r="AI50" s="246"/>
      <c r="AJ50" s="246"/>
      <c r="AK50" s="246"/>
      <c r="AL50" s="246"/>
      <c r="AM50" s="246"/>
      <c r="AN50" s="246"/>
      <c r="AO50" s="246"/>
      <c r="AP50" s="246" t="s">
        <v>152</v>
      </c>
      <c r="AQ50" s="246"/>
      <c r="AR50" s="246"/>
      <c r="AS50" s="246"/>
      <c r="AT50" s="246" t="s">
        <v>153</v>
      </c>
      <c r="AU50" s="246"/>
    </row>
    <row r="51" spans="1:47" x14ac:dyDescent="0.25">
      <c r="A51" s="246" t="s">
        <v>151</v>
      </c>
      <c r="B51" s="246"/>
      <c r="C51" s="246"/>
      <c r="D51" s="246"/>
      <c r="E51" s="246"/>
      <c r="F51" s="246"/>
      <c r="G51" s="246"/>
      <c r="H51" s="246"/>
      <c r="I51" s="246" t="s">
        <v>152</v>
      </c>
      <c r="J51" s="246"/>
      <c r="K51" s="246"/>
      <c r="L51" s="246"/>
      <c r="M51" s="246" t="s">
        <v>153</v>
      </c>
      <c r="N51" s="246"/>
      <c r="R51" s="246" t="s">
        <v>151</v>
      </c>
      <c r="S51" s="246"/>
      <c r="T51" s="246"/>
      <c r="U51" s="246"/>
      <c r="V51" s="246"/>
      <c r="W51" s="246"/>
      <c r="X51" s="246"/>
      <c r="Y51" s="246"/>
      <c r="Z51" s="246" t="s">
        <v>152</v>
      </c>
      <c r="AA51" s="246"/>
      <c r="AB51" s="246"/>
      <c r="AC51" s="246"/>
      <c r="AD51" s="246" t="s">
        <v>153</v>
      </c>
      <c r="AE51" s="246"/>
      <c r="AH51" s="246" t="s">
        <v>167</v>
      </c>
      <c r="AI51" s="246"/>
      <c r="AJ51" s="246"/>
      <c r="AK51" s="244" t="s">
        <v>155</v>
      </c>
      <c r="AL51" s="243" t="s">
        <v>156</v>
      </c>
      <c r="AM51" s="246"/>
      <c r="AN51" s="246"/>
      <c r="AO51" s="246"/>
      <c r="AP51" s="244" t="s">
        <v>163</v>
      </c>
      <c r="AQ51" s="243" t="s">
        <v>157</v>
      </c>
      <c r="AR51" s="246"/>
      <c r="AS51" s="246"/>
      <c r="AT51" s="244" t="s">
        <v>155</v>
      </c>
      <c r="AU51" s="243" t="s">
        <v>158</v>
      </c>
    </row>
    <row r="52" spans="1:47" x14ac:dyDescent="0.25">
      <c r="A52" s="246" t="s">
        <v>167</v>
      </c>
      <c r="B52" s="246"/>
      <c r="C52" s="246"/>
      <c r="D52" s="244" t="s">
        <v>155</v>
      </c>
      <c r="E52" s="243" t="s">
        <v>156</v>
      </c>
      <c r="F52" s="246"/>
      <c r="G52" s="246"/>
      <c r="H52" s="246"/>
      <c r="I52" s="244" t="s">
        <v>163</v>
      </c>
      <c r="J52" s="243" t="s">
        <v>157</v>
      </c>
      <c r="K52" s="246"/>
      <c r="L52" s="246"/>
      <c r="M52" s="244" t="s">
        <v>155</v>
      </c>
      <c r="N52" s="243" t="s">
        <v>158</v>
      </c>
      <c r="R52" s="246" t="s">
        <v>167</v>
      </c>
      <c r="S52" s="246"/>
      <c r="T52" s="246"/>
      <c r="U52" s="244" t="s">
        <v>155</v>
      </c>
      <c r="V52" s="243" t="s">
        <v>156</v>
      </c>
      <c r="W52" s="246"/>
      <c r="X52" s="246"/>
      <c r="Y52" s="246"/>
      <c r="Z52" s="244" t="s">
        <v>163</v>
      </c>
      <c r="AA52" s="243" t="s">
        <v>157</v>
      </c>
      <c r="AB52" s="246"/>
      <c r="AC52" s="246"/>
      <c r="AD52" s="244" t="s">
        <v>155</v>
      </c>
      <c r="AE52" s="243" t="s">
        <v>158</v>
      </c>
      <c r="AK52" s="137" t="s">
        <v>168</v>
      </c>
      <c r="AL52" s="240">
        <v>0.188</v>
      </c>
      <c r="AP52" s="137" t="s">
        <v>79</v>
      </c>
      <c r="AQ52" s="240">
        <v>0.59799999999999998</v>
      </c>
      <c r="AT52" s="137" t="s">
        <v>83</v>
      </c>
      <c r="AU52" s="240">
        <v>2.4500000000000002</v>
      </c>
    </row>
    <row r="53" spans="1:47" x14ac:dyDescent="0.25">
      <c r="A53" s="246"/>
      <c r="B53" s="246"/>
      <c r="C53" s="246"/>
      <c r="D53" s="137" t="s">
        <v>169</v>
      </c>
      <c r="E53" s="240">
        <v>0.14099999999999999</v>
      </c>
      <c r="F53" s="246"/>
      <c r="G53" s="246"/>
      <c r="H53" s="246"/>
      <c r="I53" s="137" t="s">
        <v>79</v>
      </c>
      <c r="J53" s="240">
        <v>0.34699999999999998</v>
      </c>
      <c r="K53" s="246"/>
      <c r="L53" s="246"/>
      <c r="M53" s="137" t="s">
        <v>102</v>
      </c>
      <c r="N53" s="240">
        <v>2.21</v>
      </c>
      <c r="R53" s="246"/>
      <c r="S53" s="246"/>
      <c r="T53" s="246"/>
      <c r="U53" s="137" t="s">
        <v>169</v>
      </c>
      <c r="V53" s="240">
        <v>0.14099999999999999</v>
      </c>
      <c r="W53" s="246"/>
      <c r="X53" s="246"/>
      <c r="Y53" s="246"/>
      <c r="Z53" s="137" t="s">
        <v>79</v>
      </c>
      <c r="AA53" s="240">
        <v>0.34699999999999998</v>
      </c>
      <c r="AB53" s="246"/>
      <c r="AC53" s="246"/>
      <c r="AD53" s="137" t="s">
        <v>102</v>
      </c>
      <c r="AE53" s="240">
        <v>2.21</v>
      </c>
      <c r="AK53" s="137" t="s">
        <v>83</v>
      </c>
      <c r="AL53" s="240">
        <v>0.48399999999999999</v>
      </c>
      <c r="AP53" s="137" t="s">
        <v>83</v>
      </c>
      <c r="AQ53" s="240">
        <v>0.60299999999999998</v>
      </c>
      <c r="AT53" s="137" t="s">
        <v>95</v>
      </c>
      <c r="AU53" s="240">
        <v>2.89</v>
      </c>
    </row>
    <row r="54" spans="1:47" x14ac:dyDescent="0.25">
      <c r="A54" s="246"/>
      <c r="B54" s="246"/>
      <c r="C54" s="246"/>
      <c r="D54" s="137" t="s">
        <v>91</v>
      </c>
      <c r="E54" s="240">
        <v>0.47399999999999998</v>
      </c>
      <c r="F54" s="246"/>
      <c r="G54" s="246"/>
      <c r="H54" s="246"/>
      <c r="I54" s="137" t="s">
        <v>102</v>
      </c>
      <c r="J54" s="240">
        <v>0.7</v>
      </c>
      <c r="K54" s="246"/>
      <c r="L54" s="246"/>
      <c r="M54" s="137" t="s">
        <v>79</v>
      </c>
      <c r="N54" s="240">
        <v>2.94</v>
      </c>
      <c r="R54" s="246"/>
      <c r="S54" s="246"/>
      <c r="T54" s="246"/>
      <c r="U54" s="137" t="s">
        <v>91</v>
      </c>
      <c r="V54" s="240">
        <v>0.47399999999999998</v>
      </c>
      <c r="W54" s="246"/>
      <c r="X54" s="246"/>
      <c r="Y54" s="246"/>
      <c r="Z54" s="137" t="s">
        <v>102</v>
      </c>
      <c r="AA54" s="240">
        <v>0.7</v>
      </c>
      <c r="AB54" s="246"/>
      <c r="AC54" s="246"/>
      <c r="AD54" s="137" t="s">
        <v>79</v>
      </c>
      <c r="AE54" s="240">
        <v>2.94</v>
      </c>
      <c r="AK54" s="137" t="s">
        <v>91</v>
      </c>
      <c r="AL54" s="240">
        <v>0.57799999999999996</v>
      </c>
      <c r="AP54" s="137" t="s">
        <v>122</v>
      </c>
      <c r="AQ54" s="240">
        <v>0.82599999999999996</v>
      </c>
      <c r="AT54" s="137" t="s">
        <v>79</v>
      </c>
      <c r="AU54" s="240">
        <v>2.94</v>
      </c>
    </row>
    <row r="55" spans="1:47" x14ac:dyDescent="0.25">
      <c r="A55" s="246"/>
      <c r="B55" s="246"/>
      <c r="C55" s="246"/>
      <c r="D55" s="137" t="s">
        <v>150</v>
      </c>
      <c r="E55" s="240">
        <v>0.66900000000000004</v>
      </c>
      <c r="F55" s="246"/>
      <c r="G55" s="246"/>
      <c r="H55" s="246"/>
      <c r="I55" s="137" t="s">
        <v>150</v>
      </c>
      <c r="J55" s="240">
        <v>0.77500000000000002</v>
      </c>
      <c r="K55" s="246"/>
      <c r="L55" s="246"/>
      <c r="M55" s="137" t="s">
        <v>83</v>
      </c>
      <c r="N55" s="240">
        <v>3.25</v>
      </c>
      <c r="R55" s="246"/>
      <c r="S55" s="246"/>
      <c r="T55" s="246"/>
      <c r="U55" s="137" t="s">
        <v>150</v>
      </c>
      <c r="V55" s="240">
        <v>0.66900000000000004</v>
      </c>
      <c r="W55" s="246"/>
      <c r="X55" s="246"/>
      <c r="Y55" s="246"/>
      <c r="Z55" s="137" t="s">
        <v>150</v>
      </c>
      <c r="AA55" s="240">
        <v>0.77500000000000002</v>
      </c>
      <c r="AB55" s="246"/>
      <c r="AC55" s="246"/>
      <c r="AD55" s="137" t="s">
        <v>83</v>
      </c>
      <c r="AE55" s="240">
        <v>3.25</v>
      </c>
    </row>
    <row r="56" spans="1:47" x14ac:dyDescent="0.25">
      <c r="A56" s="246"/>
      <c r="B56" s="246"/>
      <c r="C56" s="246"/>
      <c r="D56" s="137" t="s">
        <v>79</v>
      </c>
      <c r="E56" s="240">
        <v>1.038</v>
      </c>
      <c r="F56" s="246"/>
      <c r="G56" s="246"/>
      <c r="H56" s="246"/>
      <c r="I56" s="137" t="s">
        <v>83</v>
      </c>
      <c r="J56" s="240">
        <v>1.1919999999999999</v>
      </c>
      <c r="K56" s="246"/>
      <c r="L56" s="246"/>
      <c r="M56" s="137" t="s">
        <v>150</v>
      </c>
      <c r="N56" s="240">
        <v>3.46</v>
      </c>
      <c r="R56" s="248" t="s">
        <v>170</v>
      </c>
      <c r="S56" s="248"/>
      <c r="AH56" s="248" t="s">
        <v>171</v>
      </c>
      <c r="AI56" s="248"/>
    </row>
    <row r="57" spans="1:47" x14ac:dyDescent="0.25">
      <c r="A57" s="246"/>
      <c r="B57" s="246"/>
      <c r="C57" s="246"/>
      <c r="D57" s="137" t="s">
        <v>102</v>
      </c>
      <c r="E57" s="240">
        <v>1.284</v>
      </c>
      <c r="F57" s="246"/>
      <c r="G57" s="246"/>
      <c r="H57" s="246"/>
      <c r="I57" s="137" t="s">
        <v>149</v>
      </c>
      <c r="J57" s="240">
        <v>1.1919999999999999</v>
      </c>
      <c r="K57" s="246"/>
      <c r="L57" s="246"/>
      <c r="M57" s="137" t="s">
        <v>95</v>
      </c>
      <c r="N57" s="240">
        <v>4.12</v>
      </c>
      <c r="R57" s="246" t="s">
        <v>151</v>
      </c>
      <c r="S57" s="246"/>
      <c r="T57" s="246"/>
      <c r="U57" s="246"/>
      <c r="V57" s="246"/>
      <c r="W57" s="246"/>
      <c r="X57" s="246"/>
      <c r="Y57" s="246"/>
      <c r="Z57" s="246" t="s">
        <v>152</v>
      </c>
      <c r="AA57" s="246"/>
      <c r="AB57" s="246"/>
      <c r="AC57" s="246"/>
      <c r="AD57" s="246" t="s">
        <v>153</v>
      </c>
      <c r="AE57" s="246"/>
      <c r="AH57" s="246" t="s">
        <v>151</v>
      </c>
      <c r="AI57" s="246"/>
      <c r="AJ57" s="246"/>
      <c r="AK57" s="246"/>
      <c r="AL57" s="246"/>
      <c r="AM57" s="246"/>
      <c r="AN57" s="246"/>
      <c r="AO57" s="246"/>
      <c r="AP57" s="246" t="s">
        <v>152</v>
      </c>
      <c r="AQ57" s="246"/>
      <c r="AR57" s="246"/>
      <c r="AS57" s="246"/>
      <c r="AT57" s="246" t="s">
        <v>153</v>
      </c>
      <c r="AU57" s="246"/>
    </row>
    <row r="58" spans="1:47" x14ac:dyDescent="0.25">
      <c r="A58" s="246"/>
      <c r="B58" s="246"/>
      <c r="C58" s="246"/>
      <c r="D58" s="137" t="s">
        <v>149</v>
      </c>
      <c r="E58" s="240">
        <v>1.425</v>
      </c>
      <c r="F58" s="246"/>
      <c r="G58" s="246"/>
      <c r="H58" s="246"/>
      <c r="I58" s="137" t="s">
        <v>95</v>
      </c>
      <c r="J58" s="240">
        <v>1.268</v>
      </c>
      <c r="K58" s="246"/>
      <c r="L58" s="246"/>
      <c r="M58" s="137" t="s">
        <v>121</v>
      </c>
      <c r="N58" s="240">
        <v>4.45</v>
      </c>
      <c r="R58" s="246" t="s">
        <v>167</v>
      </c>
      <c r="S58" s="246"/>
      <c r="T58" s="246"/>
      <c r="U58" s="244" t="s">
        <v>155</v>
      </c>
      <c r="V58" s="243" t="s">
        <v>156</v>
      </c>
      <c r="W58" s="246"/>
      <c r="X58" s="246"/>
      <c r="Y58" s="246"/>
      <c r="Z58" s="244" t="s">
        <v>163</v>
      </c>
      <c r="AA58" s="243" t="s">
        <v>157</v>
      </c>
      <c r="AB58" s="246"/>
      <c r="AC58" s="246"/>
      <c r="AD58" s="244" t="s">
        <v>155</v>
      </c>
      <c r="AE58" s="243" t="s">
        <v>158</v>
      </c>
      <c r="AH58" s="246" t="s">
        <v>167</v>
      </c>
      <c r="AI58" s="246"/>
      <c r="AJ58" s="246"/>
      <c r="AK58" s="244" t="s">
        <v>155</v>
      </c>
      <c r="AL58" s="243" t="s">
        <v>156</v>
      </c>
      <c r="AM58" s="246"/>
      <c r="AN58" s="246"/>
      <c r="AO58" s="246"/>
      <c r="AP58" s="244" t="s">
        <v>163</v>
      </c>
      <c r="AQ58" s="243" t="s">
        <v>157</v>
      </c>
      <c r="AR58" s="246"/>
      <c r="AS58" s="246"/>
      <c r="AT58" s="244" t="s">
        <v>155</v>
      </c>
      <c r="AU58" s="243" t="s">
        <v>158</v>
      </c>
    </row>
    <row r="59" spans="1:47" x14ac:dyDescent="0.25">
      <c r="A59" s="246"/>
      <c r="B59" s="246"/>
      <c r="C59" s="246"/>
      <c r="D59" s="137" t="s">
        <v>121</v>
      </c>
      <c r="E59" s="240">
        <v>1.5629999999999999</v>
      </c>
      <c r="F59" s="246"/>
      <c r="G59" s="246"/>
      <c r="H59" s="246"/>
      <c r="I59" s="137" t="s">
        <v>121</v>
      </c>
      <c r="J59" s="240">
        <v>1.631</v>
      </c>
      <c r="K59" s="246"/>
      <c r="L59" s="246"/>
      <c r="M59" s="137" t="s">
        <v>149</v>
      </c>
      <c r="N59" s="240">
        <v>5.14</v>
      </c>
      <c r="U59" s="137" t="s">
        <v>172</v>
      </c>
      <c r="V59" s="240">
        <v>0.40699999999999997</v>
      </c>
      <c r="Z59" s="137" t="s">
        <v>79</v>
      </c>
      <c r="AA59" s="240">
        <v>0.30399999999999999</v>
      </c>
      <c r="AD59" s="137" t="s">
        <v>149</v>
      </c>
      <c r="AE59" s="240">
        <v>1.68</v>
      </c>
      <c r="AK59" s="137" t="s">
        <v>169</v>
      </c>
      <c r="AL59" s="240">
        <v>0.223</v>
      </c>
      <c r="AP59" s="137" t="s">
        <v>102</v>
      </c>
      <c r="AQ59" s="240">
        <v>0.16</v>
      </c>
      <c r="AT59" s="137" t="s">
        <v>102</v>
      </c>
      <c r="AU59" s="240">
        <v>2.2400000000000002</v>
      </c>
    </row>
    <row r="60" spans="1:47" x14ac:dyDescent="0.25">
      <c r="A60" s="246"/>
      <c r="B60" s="246"/>
      <c r="C60" s="246"/>
      <c r="D60" s="137" t="s">
        <v>122</v>
      </c>
      <c r="E60" s="240">
        <v>1.714</v>
      </c>
      <c r="F60" s="246"/>
      <c r="G60" s="246"/>
      <c r="H60" s="246"/>
      <c r="I60" s="137" t="s">
        <v>91</v>
      </c>
      <c r="J60" s="240">
        <v>1.907</v>
      </c>
      <c r="K60" s="246"/>
      <c r="L60" s="246"/>
      <c r="M60" s="137" t="s">
        <v>91</v>
      </c>
      <c r="N60" s="240">
        <v>6.62</v>
      </c>
      <c r="U60" s="137" t="s">
        <v>122</v>
      </c>
      <c r="V60" s="240">
        <v>0.441</v>
      </c>
      <c r="Z60" s="137" t="s">
        <v>149</v>
      </c>
      <c r="AA60" s="240">
        <v>0.65900000000000003</v>
      </c>
      <c r="AD60" s="137" t="s">
        <v>79</v>
      </c>
      <c r="AE60" s="240">
        <v>2.21</v>
      </c>
      <c r="AK60" s="137" t="s">
        <v>91</v>
      </c>
      <c r="AL60" s="240">
        <v>0.36699999999999999</v>
      </c>
      <c r="AP60" s="137" t="s">
        <v>79</v>
      </c>
      <c r="AQ60" s="240">
        <v>0.36099999999999999</v>
      </c>
      <c r="AT60" s="137" t="s">
        <v>101</v>
      </c>
      <c r="AU60" s="240">
        <v>3.03</v>
      </c>
    </row>
    <row r="61" spans="1:47" x14ac:dyDescent="0.25">
      <c r="A61" s="246"/>
      <c r="B61" s="246"/>
      <c r="C61" s="246"/>
      <c r="D61" s="141" t="s">
        <v>101</v>
      </c>
      <c r="E61" s="241">
        <v>2.0470000000000002</v>
      </c>
      <c r="F61" s="246"/>
      <c r="G61" s="246"/>
      <c r="H61" s="246"/>
      <c r="I61" s="137" t="s">
        <v>122</v>
      </c>
      <c r="J61" s="240">
        <v>2.2410000000000001</v>
      </c>
      <c r="K61" s="246"/>
      <c r="L61" s="246"/>
      <c r="M61" s="137" t="s">
        <v>122</v>
      </c>
      <c r="N61" s="240">
        <v>6.84</v>
      </c>
      <c r="U61" s="137" t="s">
        <v>79</v>
      </c>
      <c r="V61" s="240">
        <v>0.61799999999999999</v>
      </c>
      <c r="Z61" s="137" t="s">
        <v>150</v>
      </c>
      <c r="AA61" s="240">
        <v>0.78600000000000003</v>
      </c>
      <c r="AD61" s="137" t="s">
        <v>121</v>
      </c>
      <c r="AE61" s="240">
        <v>3.48</v>
      </c>
      <c r="AK61" s="137" t="s">
        <v>79</v>
      </c>
      <c r="AL61" s="240">
        <v>0.97099999999999997</v>
      </c>
      <c r="AP61" s="137" t="s">
        <v>101</v>
      </c>
      <c r="AQ61" s="240">
        <v>0.72099999999999997</v>
      </c>
      <c r="AT61" s="137" t="s">
        <v>79</v>
      </c>
      <c r="AU61" s="240">
        <v>3.13</v>
      </c>
    </row>
    <row r="62" spans="1:47" x14ac:dyDescent="0.25">
      <c r="A62" s="246"/>
      <c r="B62" s="246"/>
      <c r="C62" s="246"/>
      <c r="D62" s="246"/>
      <c r="E62" s="246"/>
      <c r="F62" s="246"/>
      <c r="G62" s="246"/>
      <c r="H62" s="246"/>
      <c r="I62" s="174" t="s">
        <v>101</v>
      </c>
      <c r="J62" s="141">
        <v>3128</v>
      </c>
      <c r="K62" s="246"/>
      <c r="L62" s="246"/>
      <c r="M62" s="174" t="s">
        <v>101</v>
      </c>
      <c r="N62" s="141">
        <v>9.74</v>
      </c>
      <c r="R62" s="247" t="s">
        <v>173</v>
      </c>
      <c r="S62" s="247"/>
    </row>
    <row r="63" spans="1:47" x14ac:dyDescent="0.25">
      <c r="A63" s="246"/>
      <c r="B63" s="246"/>
      <c r="C63" s="246"/>
      <c r="D63" s="246"/>
      <c r="E63" s="246"/>
      <c r="F63" s="246"/>
      <c r="G63" s="246"/>
      <c r="H63" s="246"/>
      <c r="K63" s="246"/>
      <c r="L63" s="246"/>
    </row>
    <row r="64" spans="1:47" x14ac:dyDescent="0.25">
      <c r="A64" s="246"/>
      <c r="B64" s="246"/>
      <c r="C64" s="246"/>
      <c r="D64" s="246"/>
      <c r="E64" s="246"/>
      <c r="F64" s="246"/>
      <c r="G64" s="246"/>
      <c r="H64" s="246"/>
      <c r="K64" s="246"/>
      <c r="L64" s="246"/>
      <c r="R64" s="246" t="s">
        <v>151</v>
      </c>
      <c r="S64" s="246"/>
      <c r="T64" s="246"/>
      <c r="U64" s="246"/>
      <c r="V64" s="246"/>
      <c r="W64" s="246"/>
      <c r="X64" s="246"/>
      <c r="Y64" s="246"/>
      <c r="Z64" s="246" t="s">
        <v>152</v>
      </c>
      <c r="AA64" s="246"/>
      <c r="AB64" s="246"/>
      <c r="AC64" s="246"/>
      <c r="AD64" s="246" t="s">
        <v>153</v>
      </c>
      <c r="AE64" s="246"/>
      <c r="AH64" s="247" t="s">
        <v>174</v>
      </c>
      <c r="AI64" s="247"/>
    </row>
    <row r="65" spans="1:47" x14ac:dyDescent="0.25">
      <c r="A65" s="248" t="s">
        <v>170</v>
      </c>
      <c r="B65" s="248"/>
      <c r="U65" s="244" t="s">
        <v>155</v>
      </c>
      <c r="V65" s="243" t="s">
        <v>156</v>
      </c>
      <c r="W65" s="246"/>
      <c r="X65" s="246"/>
      <c r="Y65" s="246"/>
      <c r="Z65" s="244" t="s">
        <v>163</v>
      </c>
      <c r="AA65" s="243" t="s">
        <v>157</v>
      </c>
      <c r="AB65" s="246"/>
      <c r="AC65" s="246"/>
      <c r="AD65" s="244" t="s">
        <v>155</v>
      </c>
      <c r="AE65" s="243" t="s">
        <v>158</v>
      </c>
      <c r="AH65" s="246" t="s">
        <v>151</v>
      </c>
      <c r="AI65" s="246"/>
      <c r="AJ65" s="246"/>
      <c r="AK65" s="246"/>
      <c r="AL65" s="246"/>
      <c r="AM65" s="246"/>
      <c r="AN65" s="246"/>
      <c r="AO65" s="246"/>
      <c r="AP65" s="246" t="s">
        <v>152</v>
      </c>
      <c r="AQ65" s="246"/>
      <c r="AR65" s="246"/>
      <c r="AS65" s="246"/>
      <c r="AT65" s="246" t="s">
        <v>153</v>
      </c>
      <c r="AU65" s="246"/>
    </row>
    <row r="66" spans="1:47" x14ac:dyDescent="0.25">
      <c r="A66" s="246" t="s">
        <v>151</v>
      </c>
      <c r="B66" s="246"/>
      <c r="C66" s="246"/>
      <c r="D66" s="246"/>
      <c r="E66" s="246"/>
      <c r="F66" s="246"/>
      <c r="G66" s="246"/>
      <c r="H66" s="246"/>
      <c r="I66" s="246" t="s">
        <v>152</v>
      </c>
      <c r="J66" s="246"/>
      <c r="K66" s="246"/>
      <c r="L66" s="246"/>
      <c r="M66" s="246" t="s">
        <v>153</v>
      </c>
      <c r="N66" s="246"/>
      <c r="U66" s="137" t="s">
        <v>175</v>
      </c>
      <c r="V66" s="240">
        <v>0.13400000000000001</v>
      </c>
      <c r="W66" s="246"/>
      <c r="X66" s="246"/>
      <c r="Y66" s="246"/>
      <c r="Z66" s="137" t="s">
        <v>91</v>
      </c>
      <c r="AA66" s="240">
        <v>7.2999999999999995E-2</v>
      </c>
      <c r="AB66" s="246"/>
      <c r="AC66" s="246"/>
      <c r="AD66" s="137" t="s">
        <v>83</v>
      </c>
      <c r="AE66" s="240">
        <v>1.68</v>
      </c>
      <c r="AH66" s="246" t="s">
        <v>167</v>
      </c>
      <c r="AI66" s="246"/>
      <c r="AJ66" s="246"/>
      <c r="AK66" s="244" t="s">
        <v>155</v>
      </c>
      <c r="AL66" s="243" t="s">
        <v>156</v>
      </c>
      <c r="AM66" s="246"/>
      <c r="AN66" s="246"/>
      <c r="AO66" s="246"/>
      <c r="AP66" s="244" t="s">
        <v>163</v>
      </c>
      <c r="AQ66" s="243" t="s">
        <v>157</v>
      </c>
      <c r="AR66" s="246"/>
      <c r="AS66" s="246"/>
      <c r="AT66" s="244" t="s">
        <v>155</v>
      </c>
      <c r="AU66" s="243" t="s">
        <v>158</v>
      </c>
    </row>
    <row r="67" spans="1:47" x14ac:dyDescent="0.25">
      <c r="A67" s="246" t="s">
        <v>167</v>
      </c>
      <c r="B67" s="246"/>
      <c r="C67" s="246"/>
      <c r="D67" s="244" t="s">
        <v>155</v>
      </c>
      <c r="E67" s="243" t="s">
        <v>156</v>
      </c>
      <c r="F67" s="246"/>
      <c r="G67" s="246"/>
      <c r="H67" s="246"/>
      <c r="I67" s="244" t="s">
        <v>163</v>
      </c>
      <c r="J67" s="243" t="s">
        <v>157</v>
      </c>
      <c r="K67" s="246"/>
      <c r="L67" s="246"/>
      <c r="M67" s="244" t="s">
        <v>155</v>
      </c>
      <c r="N67" s="243" t="s">
        <v>158</v>
      </c>
      <c r="U67" s="137" t="s">
        <v>91</v>
      </c>
      <c r="V67" s="240">
        <v>0.30299999999999999</v>
      </c>
      <c r="W67" s="246"/>
      <c r="X67" s="246"/>
      <c r="Y67" s="246"/>
      <c r="Z67" s="137" t="s">
        <v>83</v>
      </c>
      <c r="AA67" s="240">
        <v>0.156</v>
      </c>
      <c r="AB67" s="246"/>
      <c r="AC67" s="246"/>
      <c r="AD67" s="137" t="s">
        <v>91</v>
      </c>
      <c r="AE67" s="240">
        <v>1.86</v>
      </c>
      <c r="AK67" s="137" t="s">
        <v>176</v>
      </c>
      <c r="AL67" s="240">
        <v>0.23599999999999999</v>
      </c>
      <c r="AP67" s="137" t="s">
        <v>91</v>
      </c>
      <c r="AQ67" s="240">
        <v>0.11799999999999999</v>
      </c>
      <c r="AT67" s="137" t="s">
        <v>91</v>
      </c>
      <c r="AU67" s="240">
        <v>1.5</v>
      </c>
    </row>
    <row r="68" spans="1:47" x14ac:dyDescent="0.25">
      <c r="D68" s="137" t="s">
        <v>172</v>
      </c>
      <c r="E68" s="240">
        <v>0.40699999999999997</v>
      </c>
      <c r="I68" s="137" t="s">
        <v>79</v>
      </c>
      <c r="J68" s="240">
        <v>0.30399999999999999</v>
      </c>
      <c r="M68" s="137" t="s">
        <v>149</v>
      </c>
      <c r="N68" s="240">
        <v>1.68</v>
      </c>
      <c r="U68" s="137" t="s">
        <v>83</v>
      </c>
      <c r="V68" s="240">
        <v>0.432</v>
      </c>
      <c r="W68" s="246"/>
      <c r="X68" s="246"/>
      <c r="Y68" s="246"/>
      <c r="Z68" s="137" t="s">
        <v>121</v>
      </c>
      <c r="AA68" s="240">
        <v>0.23400000000000001</v>
      </c>
      <c r="AB68" s="246"/>
      <c r="AC68" s="246"/>
      <c r="AD68" s="137" t="s">
        <v>102</v>
      </c>
      <c r="AE68" s="240">
        <v>3.22</v>
      </c>
      <c r="AK68" s="137" t="s">
        <v>122</v>
      </c>
      <c r="AL68" s="240">
        <v>0.443</v>
      </c>
      <c r="AP68" s="137" t="s">
        <v>150</v>
      </c>
      <c r="AQ68" s="240">
        <v>0.11799999999999999</v>
      </c>
      <c r="AT68" s="137" t="s">
        <v>150</v>
      </c>
      <c r="AU68" s="240">
        <v>2.21</v>
      </c>
    </row>
    <row r="69" spans="1:47" x14ac:dyDescent="0.25">
      <c r="D69" s="137" t="s">
        <v>122</v>
      </c>
      <c r="E69" s="240">
        <v>0.441</v>
      </c>
      <c r="I69" s="137" t="s">
        <v>149</v>
      </c>
      <c r="J69" s="240">
        <v>0.65900000000000003</v>
      </c>
      <c r="M69" s="137" t="s">
        <v>79</v>
      </c>
      <c r="N69" s="240">
        <v>2.21</v>
      </c>
      <c r="AK69" s="137" t="s">
        <v>121</v>
      </c>
      <c r="AL69" s="240">
        <v>0.48899999999999999</v>
      </c>
      <c r="AP69" s="137" t="s">
        <v>122</v>
      </c>
      <c r="AQ69" s="240">
        <v>0.13900000000000001</v>
      </c>
      <c r="AT69" s="137" t="s">
        <v>122</v>
      </c>
      <c r="AU69" s="240">
        <v>2.71</v>
      </c>
    </row>
    <row r="70" spans="1:47" x14ac:dyDescent="0.25">
      <c r="D70" s="137" t="s">
        <v>79</v>
      </c>
      <c r="E70" s="240">
        <v>0.61799999999999999</v>
      </c>
      <c r="I70" s="137" t="s">
        <v>150</v>
      </c>
      <c r="J70" s="240">
        <v>0.78600000000000003</v>
      </c>
      <c r="M70" s="137" t="s">
        <v>121</v>
      </c>
      <c r="N70" s="240">
        <v>3.48</v>
      </c>
    </row>
    <row r="71" spans="1:47" x14ac:dyDescent="0.25">
      <c r="D71" s="137" t="s">
        <v>150</v>
      </c>
      <c r="E71" s="240">
        <v>0.98399999999999999</v>
      </c>
      <c r="I71" s="137" t="s">
        <v>122</v>
      </c>
      <c r="J71" s="240">
        <v>0.97799999999999998</v>
      </c>
      <c r="M71" s="137" t="s">
        <v>122</v>
      </c>
      <c r="N71" s="240">
        <v>3.94</v>
      </c>
    </row>
    <row r="72" spans="1:47" x14ac:dyDescent="0.25">
      <c r="D72" s="137" t="s">
        <v>95</v>
      </c>
      <c r="E72" s="240">
        <v>1.113</v>
      </c>
      <c r="I72" s="137" t="s">
        <v>95</v>
      </c>
      <c r="J72" s="240">
        <v>0.98099999999999998</v>
      </c>
      <c r="M72" s="137" t="s">
        <v>150</v>
      </c>
      <c r="N72" s="240">
        <v>4.21</v>
      </c>
      <c r="R72" s="239" t="s">
        <v>177</v>
      </c>
      <c r="S72" s="239"/>
    </row>
    <row r="73" spans="1:47" x14ac:dyDescent="0.25">
      <c r="D73" s="137" t="s">
        <v>83</v>
      </c>
      <c r="E73" s="240">
        <v>1.2</v>
      </c>
      <c r="I73" s="137" t="s">
        <v>83</v>
      </c>
      <c r="J73" s="240">
        <v>1.1240000000000001</v>
      </c>
      <c r="M73" s="137" t="s">
        <v>102</v>
      </c>
      <c r="N73" s="240">
        <v>4.76</v>
      </c>
      <c r="R73" s="246" t="s">
        <v>151</v>
      </c>
      <c r="S73" s="246"/>
      <c r="T73" s="246"/>
      <c r="U73" s="246"/>
      <c r="V73" s="246"/>
      <c r="W73" s="246"/>
      <c r="X73" s="246"/>
      <c r="Y73" s="246"/>
      <c r="Z73" s="246" t="s">
        <v>152</v>
      </c>
      <c r="AA73" s="246"/>
      <c r="AB73" s="246"/>
      <c r="AC73" s="246"/>
      <c r="AD73" s="246" t="s">
        <v>153</v>
      </c>
      <c r="AE73" s="246"/>
      <c r="AH73" s="239" t="s">
        <v>178</v>
      </c>
      <c r="AI73" s="239"/>
    </row>
    <row r="74" spans="1:47" x14ac:dyDescent="0.25">
      <c r="D74" s="137" t="s">
        <v>102</v>
      </c>
      <c r="E74" s="240">
        <v>1.331</v>
      </c>
      <c r="I74" s="137" t="s">
        <v>121</v>
      </c>
      <c r="J74" s="240">
        <v>1.163</v>
      </c>
      <c r="M74" s="137" t="s">
        <v>83</v>
      </c>
      <c r="N74" s="240">
        <v>5.63</v>
      </c>
      <c r="R74" s="246" t="s">
        <v>167</v>
      </c>
      <c r="S74" s="246"/>
      <c r="T74" s="246"/>
      <c r="U74" s="244" t="s">
        <v>155</v>
      </c>
      <c r="V74" s="243" t="s">
        <v>156</v>
      </c>
      <c r="W74" s="246"/>
      <c r="X74" s="246"/>
      <c r="Y74" s="246"/>
      <c r="Z74" s="244" t="s">
        <v>163</v>
      </c>
      <c r="AA74" s="243" t="s">
        <v>157</v>
      </c>
      <c r="AB74" s="246"/>
      <c r="AC74" s="246"/>
      <c r="AD74" s="244" t="s">
        <v>155</v>
      </c>
      <c r="AE74" s="243" t="s">
        <v>158</v>
      </c>
      <c r="AH74" s="246" t="s">
        <v>151</v>
      </c>
      <c r="AI74" s="246"/>
      <c r="AJ74" s="246"/>
      <c r="AK74" s="246"/>
      <c r="AL74" s="246"/>
      <c r="AM74" s="246"/>
      <c r="AN74" s="246"/>
      <c r="AO74" s="246"/>
      <c r="AP74" s="246" t="s">
        <v>152</v>
      </c>
      <c r="AQ74" s="246"/>
      <c r="AR74" s="246"/>
      <c r="AS74" s="246"/>
      <c r="AT74" s="246" t="s">
        <v>153</v>
      </c>
      <c r="AU74" s="246"/>
    </row>
    <row r="75" spans="1:47" x14ac:dyDescent="0.25">
      <c r="D75" s="137" t="s">
        <v>91</v>
      </c>
      <c r="E75" s="240">
        <v>1.4359999999999999</v>
      </c>
      <c r="I75" s="137" t="s">
        <v>102</v>
      </c>
      <c r="J75" s="240">
        <v>1.5129999999999999</v>
      </c>
      <c r="M75" s="137" t="s">
        <v>95</v>
      </c>
      <c r="N75" s="240">
        <v>6.06</v>
      </c>
      <c r="R75" s="246"/>
      <c r="S75" s="246"/>
      <c r="T75" s="246"/>
      <c r="U75" s="137" t="s">
        <v>175</v>
      </c>
      <c r="V75" s="240">
        <v>0.13400000000000001</v>
      </c>
      <c r="W75" s="246"/>
      <c r="X75" s="246"/>
      <c r="Y75" s="246"/>
      <c r="Z75" s="137" t="s">
        <v>91</v>
      </c>
      <c r="AA75" s="240">
        <v>7.2999999999999995E-2</v>
      </c>
      <c r="AB75" s="246"/>
      <c r="AC75" s="246"/>
      <c r="AD75" s="137" t="s">
        <v>83</v>
      </c>
      <c r="AE75" s="240">
        <v>1.68</v>
      </c>
      <c r="AH75" s="246" t="s">
        <v>167</v>
      </c>
      <c r="AI75" s="246"/>
      <c r="AJ75" s="246"/>
      <c r="AK75" s="244" t="s">
        <v>155</v>
      </c>
      <c r="AL75" s="243" t="s">
        <v>156</v>
      </c>
      <c r="AM75" s="246"/>
      <c r="AN75" s="246"/>
      <c r="AO75" s="246"/>
      <c r="AP75" s="244" t="s">
        <v>163</v>
      </c>
      <c r="AQ75" s="243" t="s">
        <v>157</v>
      </c>
      <c r="AR75" s="246"/>
      <c r="AS75" s="246"/>
      <c r="AT75" s="244" t="s">
        <v>155</v>
      </c>
      <c r="AU75" s="243" t="s">
        <v>158</v>
      </c>
    </row>
    <row r="76" spans="1:47" x14ac:dyDescent="0.25">
      <c r="D76" s="141" t="s">
        <v>101</v>
      </c>
      <c r="E76" s="241">
        <v>1.5980000000000001</v>
      </c>
      <c r="I76" s="137" t="s">
        <v>91</v>
      </c>
      <c r="J76" s="240">
        <v>1.8540000000000001</v>
      </c>
      <c r="M76" s="137" t="s">
        <v>91</v>
      </c>
      <c r="N76" s="240">
        <v>8.74</v>
      </c>
      <c r="R76" s="246"/>
      <c r="S76" s="246"/>
      <c r="T76" s="246"/>
      <c r="U76" s="137" t="s">
        <v>91</v>
      </c>
      <c r="V76" s="240">
        <v>0.30299999999999999</v>
      </c>
      <c r="W76" s="246"/>
      <c r="X76" s="246"/>
      <c r="Y76" s="246"/>
      <c r="Z76" s="137" t="s">
        <v>83</v>
      </c>
      <c r="AA76" s="240">
        <v>0.156</v>
      </c>
      <c r="AB76" s="246"/>
      <c r="AC76" s="246"/>
      <c r="AD76" s="137" t="s">
        <v>91</v>
      </c>
      <c r="AE76" s="240">
        <v>1.86</v>
      </c>
      <c r="AK76" s="137" t="s">
        <v>179</v>
      </c>
      <c r="AL76" s="240">
        <v>0.442</v>
      </c>
      <c r="AP76" s="137" t="s">
        <v>101</v>
      </c>
      <c r="AQ76" s="240">
        <v>0.185</v>
      </c>
      <c r="AT76" s="137" t="s">
        <v>79</v>
      </c>
      <c r="AU76" s="240">
        <v>2.78</v>
      </c>
    </row>
    <row r="77" spans="1:47" x14ac:dyDescent="0.25">
      <c r="I77" s="174" t="s">
        <v>101</v>
      </c>
      <c r="J77" s="141">
        <v>2.1110000000000002</v>
      </c>
      <c r="M77" s="174" t="s">
        <v>101</v>
      </c>
      <c r="N77" s="141">
        <v>10</v>
      </c>
      <c r="R77" s="246"/>
      <c r="S77" s="246"/>
      <c r="T77" s="246"/>
      <c r="U77" s="137" t="s">
        <v>83</v>
      </c>
      <c r="V77" s="240">
        <v>0.432</v>
      </c>
      <c r="W77" s="246"/>
      <c r="X77" s="246"/>
      <c r="Y77" s="246"/>
      <c r="Z77" s="137" t="s">
        <v>121</v>
      </c>
      <c r="AA77" s="240">
        <v>0.23400000000000001</v>
      </c>
      <c r="AB77" s="246"/>
      <c r="AC77" s="246"/>
      <c r="AD77" s="137" t="s">
        <v>102</v>
      </c>
      <c r="AE77" s="240">
        <v>3.22</v>
      </c>
      <c r="AK77" s="137" t="s">
        <v>95</v>
      </c>
      <c r="AL77" s="240">
        <v>0.78100000000000003</v>
      </c>
      <c r="AP77" s="137" t="s">
        <v>79</v>
      </c>
      <c r="AQ77" s="240">
        <v>0.30299999999999999</v>
      </c>
      <c r="AT77" s="137" t="s">
        <v>101</v>
      </c>
      <c r="AU77" s="240">
        <v>3.03</v>
      </c>
    </row>
    <row r="78" spans="1:47" x14ac:dyDescent="0.25">
      <c r="AK78" s="137" t="s">
        <v>91</v>
      </c>
      <c r="AL78" s="240">
        <v>0.94899999999999995</v>
      </c>
      <c r="AP78" s="137" t="s">
        <v>102</v>
      </c>
      <c r="AQ78" s="240">
        <v>0.30299999999999999</v>
      </c>
      <c r="AT78" s="137" t="s">
        <v>150</v>
      </c>
      <c r="AU78" s="240">
        <v>3.25</v>
      </c>
    </row>
    <row r="79" spans="1:47" x14ac:dyDescent="0.25">
      <c r="R79" s="248" t="s">
        <v>180</v>
      </c>
      <c r="S79" s="248"/>
    </row>
    <row r="80" spans="1:47" x14ac:dyDescent="0.25">
      <c r="R80" s="246" t="s">
        <v>151</v>
      </c>
      <c r="S80" s="246"/>
      <c r="T80" s="246"/>
      <c r="U80" s="246"/>
      <c r="V80" s="246"/>
      <c r="W80" s="246"/>
      <c r="X80" s="246"/>
      <c r="Y80" s="246"/>
      <c r="Z80" s="246" t="s">
        <v>152</v>
      </c>
      <c r="AA80" s="246"/>
      <c r="AB80" s="246"/>
      <c r="AC80" s="246"/>
      <c r="AD80" s="246" t="s">
        <v>153</v>
      </c>
      <c r="AE80" s="246"/>
    </row>
    <row r="81" spans="1:31" x14ac:dyDescent="0.25">
      <c r="R81" s="246" t="s">
        <v>167</v>
      </c>
      <c r="S81" s="246"/>
      <c r="T81" s="246"/>
      <c r="U81" s="244" t="s">
        <v>155</v>
      </c>
      <c r="V81" s="243" t="s">
        <v>156</v>
      </c>
      <c r="W81" s="246"/>
      <c r="X81" s="246"/>
      <c r="Y81" s="246"/>
      <c r="Z81" s="244" t="s">
        <v>163</v>
      </c>
      <c r="AA81" s="243" t="s">
        <v>157</v>
      </c>
      <c r="AB81" s="246"/>
      <c r="AC81" s="246"/>
      <c r="AD81" s="244" t="s">
        <v>155</v>
      </c>
      <c r="AE81" s="243" t="s">
        <v>158</v>
      </c>
    </row>
    <row r="82" spans="1:31" x14ac:dyDescent="0.25">
      <c r="A82" s="247" t="s">
        <v>173</v>
      </c>
      <c r="B82" s="247"/>
      <c r="R82" s="246"/>
      <c r="S82" s="246"/>
      <c r="T82" s="246"/>
      <c r="U82" s="137" t="s">
        <v>181</v>
      </c>
      <c r="V82" s="240">
        <v>4.5999999999999999E-2</v>
      </c>
      <c r="W82" s="246"/>
      <c r="X82" s="246"/>
      <c r="Y82" s="246"/>
      <c r="Z82" s="137" t="s">
        <v>83</v>
      </c>
      <c r="AA82" s="240">
        <v>0.70099999999999996</v>
      </c>
      <c r="AB82" s="246"/>
      <c r="AC82" s="246"/>
      <c r="AD82" s="137" t="s">
        <v>79</v>
      </c>
      <c r="AE82" s="240">
        <v>2.38</v>
      </c>
    </row>
    <row r="83" spans="1:31" x14ac:dyDescent="0.25">
      <c r="R83" s="246"/>
      <c r="S83" s="246"/>
      <c r="T83" s="246"/>
      <c r="U83" s="137" t="s">
        <v>121</v>
      </c>
      <c r="V83" s="240">
        <v>0.13700000000000001</v>
      </c>
      <c r="W83" s="246"/>
      <c r="X83" s="246"/>
      <c r="Y83" s="246"/>
      <c r="Z83" s="137" t="s">
        <v>79</v>
      </c>
      <c r="AA83" s="240">
        <v>0.88300000000000001</v>
      </c>
      <c r="AB83" s="246"/>
      <c r="AC83" s="246"/>
      <c r="AD83" s="137" t="s">
        <v>91</v>
      </c>
      <c r="AE83" s="240">
        <v>2.78</v>
      </c>
    </row>
    <row r="84" spans="1:31" x14ac:dyDescent="0.25">
      <c r="A84" s="246" t="s">
        <v>151</v>
      </c>
      <c r="B84" s="246"/>
      <c r="C84" s="246"/>
      <c r="D84" s="246"/>
      <c r="E84" s="246"/>
      <c r="F84" s="246"/>
      <c r="G84" s="246"/>
      <c r="H84" s="246"/>
      <c r="I84" s="246" t="s">
        <v>152</v>
      </c>
      <c r="J84" s="246"/>
      <c r="K84" s="246"/>
      <c r="L84" s="246"/>
      <c r="M84" s="246" t="s">
        <v>153</v>
      </c>
      <c r="N84" s="246"/>
      <c r="R84" s="246"/>
      <c r="S84" s="246"/>
      <c r="T84" s="246"/>
      <c r="U84" s="137" t="s">
        <v>79</v>
      </c>
      <c r="V84" s="240">
        <v>0.14799999999999999</v>
      </c>
      <c r="W84" s="246"/>
      <c r="X84" s="246"/>
      <c r="Y84" s="246"/>
      <c r="Z84" s="137" t="s">
        <v>149</v>
      </c>
      <c r="AA84" s="240">
        <v>0.88400000000000001</v>
      </c>
      <c r="AB84" s="246"/>
      <c r="AC84" s="246"/>
      <c r="AD84" s="137" t="s">
        <v>95</v>
      </c>
      <c r="AE84" s="240">
        <v>2.89</v>
      </c>
    </row>
    <row r="85" spans="1:31" x14ac:dyDescent="0.25">
      <c r="D85" s="244" t="s">
        <v>155</v>
      </c>
      <c r="E85" s="243" t="s">
        <v>156</v>
      </c>
      <c r="F85" s="246"/>
      <c r="G85" s="246"/>
      <c r="H85" s="246"/>
      <c r="I85" s="244" t="s">
        <v>163</v>
      </c>
      <c r="J85" s="243" t="s">
        <v>157</v>
      </c>
      <c r="K85" s="246"/>
      <c r="L85" s="246"/>
      <c r="M85" s="244" t="s">
        <v>155</v>
      </c>
      <c r="N85" s="243" t="s">
        <v>158</v>
      </c>
      <c r="O85" s="246"/>
      <c r="R85" s="247" t="s">
        <v>182</v>
      </c>
      <c r="S85" s="247"/>
    </row>
    <row r="86" spans="1:31" x14ac:dyDescent="0.25">
      <c r="D86" s="137" t="s">
        <v>175</v>
      </c>
      <c r="E86" s="240">
        <v>0.13400000000000001</v>
      </c>
      <c r="F86" s="246"/>
      <c r="G86" s="246"/>
      <c r="H86" s="246"/>
      <c r="I86" s="137" t="s">
        <v>91</v>
      </c>
      <c r="J86" s="240">
        <v>7.2999999999999995E-2</v>
      </c>
      <c r="K86" s="246"/>
      <c r="L86" s="246"/>
      <c r="M86" s="137" t="s">
        <v>83</v>
      </c>
      <c r="N86" s="240">
        <v>1.68</v>
      </c>
      <c r="O86" s="246"/>
      <c r="R86" s="246" t="s">
        <v>151</v>
      </c>
      <c r="S86" s="246"/>
      <c r="T86" s="246"/>
      <c r="U86" s="246"/>
      <c r="V86" s="246"/>
      <c r="W86" s="246"/>
      <c r="X86" s="246"/>
      <c r="Y86" s="246"/>
      <c r="Z86" s="246" t="s">
        <v>152</v>
      </c>
      <c r="AA86" s="246"/>
      <c r="AB86" s="246"/>
      <c r="AC86" s="246"/>
      <c r="AD86" s="246" t="s">
        <v>153</v>
      </c>
      <c r="AE86" s="246"/>
    </row>
    <row r="87" spans="1:31" x14ac:dyDescent="0.25">
      <c r="D87" s="137" t="s">
        <v>91</v>
      </c>
      <c r="E87" s="240">
        <v>0.30299999999999999</v>
      </c>
      <c r="F87" s="246"/>
      <c r="G87" s="246"/>
      <c r="H87" s="246"/>
      <c r="I87" s="137" t="s">
        <v>83</v>
      </c>
      <c r="J87" s="240">
        <v>0.156</v>
      </c>
      <c r="K87" s="246"/>
      <c r="L87" s="246"/>
      <c r="M87" s="137" t="s">
        <v>91</v>
      </c>
      <c r="N87" s="240">
        <v>1.86</v>
      </c>
      <c r="O87" s="246"/>
      <c r="R87" s="246" t="s">
        <v>167</v>
      </c>
      <c r="S87" s="246"/>
      <c r="T87" s="246"/>
      <c r="U87" s="244" t="s">
        <v>155</v>
      </c>
      <c r="V87" s="243" t="s">
        <v>156</v>
      </c>
      <c r="W87" s="246"/>
      <c r="X87" s="246"/>
      <c r="Y87" s="246"/>
      <c r="Z87" s="244" t="s">
        <v>163</v>
      </c>
      <c r="AA87" s="243" t="s">
        <v>157</v>
      </c>
      <c r="AB87" s="246"/>
      <c r="AC87" s="246"/>
      <c r="AD87" s="244" t="s">
        <v>155</v>
      </c>
      <c r="AE87" s="243" t="s">
        <v>158</v>
      </c>
    </row>
    <row r="88" spans="1:31" x14ac:dyDescent="0.25">
      <c r="D88" s="137" t="s">
        <v>83</v>
      </c>
      <c r="E88" s="240">
        <v>0.432</v>
      </c>
      <c r="F88" s="246"/>
      <c r="G88" s="246"/>
      <c r="H88" s="246"/>
      <c r="I88" s="137" t="s">
        <v>121</v>
      </c>
      <c r="J88" s="240">
        <v>0.23400000000000001</v>
      </c>
      <c r="K88" s="246"/>
      <c r="L88" s="246"/>
      <c r="M88" s="137" t="s">
        <v>102</v>
      </c>
      <c r="N88" s="240">
        <v>3.22</v>
      </c>
      <c r="O88" s="246"/>
      <c r="U88" s="137" t="s">
        <v>183</v>
      </c>
      <c r="V88" s="240">
        <v>0.44700000000000001</v>
      </c>
      <c r="Z88" s="137" t="s">
        <v>150</v>
      </c>
      <c r="AA88" s="240">
        <v>6.5000000000000002E-2</v>
      </c>
      <c r="AD88" s="137" t="s">
        <v>150</v>
      </c>
      <c r="AE88" s="240">
        <v>2.34</v>
      </c>
    </row>
    <row r="89" spans="1:31" x14ac:dyDescent="0.25">
      <c r="D89" s="137" t="s">
        <v>121</v>
      </c>
      <c r="E89" s="240">
        <v>0.61399999999999999</v>
      </c>
      <c r="F89" s="246"/>
      <c r="G89" s="246"/>
      <c r="H89" s="246"/>
      <c r="I89" s="137" t="s">
        <v>122</v>
      </c>
      <c r="J89" s="240">
        <v>0.25800000000000001</v>
      </c>
      <c r="K89" s="246"/>
      <c r="L89" s="246"/>
      <c r="M89" s="137" t="s">
        <v>150</v>
      </c>
      <c r="N89" s="240">
        <v>3.34</v>
      </c>
      <c r="O89" s="246"/>
      <c r="U89" s="137" t="s">
        <v>79</v>
      </c>
      <c r="V89" s="240">
        <v>0.59399999999999997</v>
      </c>
      <c r="Z89" s="137" t="s">
        <v>122</v>
      </c>
      <c r="AA89" s="240">
        <v>0.27900000000000003</v>
      </c>
      <c r="AD89" s="137" t="s">
        <v>122</v>
      </c>
      <c r="AE89" s="240">
        <v>2.38</v>
      </c>
    </row>
    <row r="90" spans="1:31" x14ac:dyDescent="0.25">
      <c r="D90" s="137" t="s">
        <v>122</v>
      </c>
      <c r="E90" s="240">
        <v>0.78500000000000003</v>
      </c>
      <c r="F90" s="246"/>
      <c r="G90" s="246"/>
      <c r="H90" s="246"/>
      <c r="I90" s="137" t="s">
        <v>150</v>
      </c>
      <c r="J90" s="240">
        <v>0.77500000000000002</v>
      </c>
      <c r="K90" s="246"/>
      <c r="L90" s="246"/>
      <c r="M90" s="137" t="s">
        <v>121</v>
      </c>
      <c r="N90" s="240">
        <v>3.66</v>
      </c>
      <c r="O90" s="246"/>
      <c r="U90" s="137" t="s">
        <v>102</v>
      </c>
      <c r="V90" s="240">
        <v>0.89700000000000002</v>
      </c>
      <c r="Z90" s="137" t="s">
        <v>149</v>
      </c>
      <c r="AA90" s="240">
        <v>0.31900000000000001</v>
      </c>
      <c r="AD90" s="137" t="s">
        <v>149</v>
      </c>
      <c r="AE90" s="240">
        <v>3.03</v>
      </c>
    </row>
    <row r="91" spans="1:31" x14ac:dyDescent="0.25">
      <c r="D91" s="137" t="s">
        <v>95</v>
      </c>
      <c r="E91" s="240">
        <v>0.97599999999999998</v>
      </c>
      <c r="F91" s="246"/>
      <c r="G91" s="246"/>
      <c r="H91" s="246"/>
      <c r="I91" s="137" t="s">
        <v>102</v>
      </c>
      <c r="J91" s="240">
        <v>0.78600000000000003</v>
      </c>
      <c r="K91" s="246"/>
      <c r="L91" s="246"/>
      <c r="M91" s="137" t="s">
        <v>122</v>
      </c>
      <c r="N91" s="240">
        <v>4.9000000000000004</v>
      </c>
      <c r="O91" s="246"/>
    </row>
    <row r="92" spans="1:31" x14ac:dyDescent="0.25">
      <c r="D92" s="137" t="s">
        <v>149</v>
      </c>
      <c r="E92" s="240">
        <v>1.125</v>
      </c>
      <c r="F92" s="246"/>
      <c r="G92" s="246"/>
      <c r="H92" s="246"/>
      <c r="I92" s="137" t="s">
        <v>149</v>
      </c>
      <c r="J92" s="240">
        <v>1.117</v>
      </c>
      <c r="K92" s="246"/>
      <c r="L92" s="246"/>
      <c r="M92" s="137" t="s">
        <v>149</v>
      </c>
      <c r="N92" s="240">
        <v>7.24</v>
      </c>
      <c r="O92" s="246"/>
      <c r="R92" s="239" t="s">
        <v>184</v>
      </c>
      <c r="S92" s="239"/>
    </row>
    <row r="93" spans="1:31" x14ac:dyDescent="0.25">
      <c r="D93" s="137" t="s">
        <v>101</v>
      </c>
      <c r="E93" s="240">
        <v>1.552</v>
      </c>
      <c r="F93" s="246"/>
      <c r="G93" s="246"/>
      <c r="H93" s="246"/>
      <c r="I93" s="137" t="s">
        <v>95</v>
      </c>
      <c r="J93" s="240">
        <v>1.3520000000000001</v>
      </c>
      <c r="K93" s="246"/>
      <c r="L93" s="246"/>
      <c r="M93" s="137" t="s">
        <v>95</v>
      </c>
      <c r="N93" s="240">
        <v>7.74</v>
      </c>
      <c r="O93" s="246"/>
      <c r="R93" s="246" t="s">
        <v>151</v>
      </c>
      <c r="S93" s="246"/>
      <c r="T93" s="246"/>
      <c r="U93" s="246"/>
      <c r="V93" s="246"/>
      <c r="W93" s="246"/>
      <c r="X93" s="246"/>
      <c r="Y93" s="246"/>
      <c r="Z93" s="246" t="s">
        <v>152</v>
      </c>
      <c r="AA93" s="246"/>
      <c r="AB93" s="246"/>
      <c r="AC93" s="246"/>
      <c r="AD93" s="246" t="s">
        <v>153</v>
      </c>
      <c r="AE93" s="246"/>
    </row>
    <row r="94" spans="1:31" x14ac:dyDescent="0.25">
      <c r="D94" s="141" t="s">
        <v>79</v>
      </c>
      <c r="E94" s="241">
        <v>2.1030000000000002</v>
      </c>
      <c r="F94" s="246"/>
      <c r="G94" s="246"/>
      <c r="H94" s="246"/>
      <c r="I94" s="137" t="s">
        <v>101</v>
      </c>
      <c r="J94" s="240">
        <v>3.339</v>
      </c>
      <c r="K94" s="246"/>
      <c r="L94" s="246"/>
      <c r="M94" s="137" t="s">
        <v>101</v>
      </c>
      <c r="N94" s="240">
        <v>9.24</v>
      </c>
      <c r="O94" s="246"/>
      <c r="R94" s="246" t="s">
        <v>167</v>
      </c>
      <c r="S94" s="246"/>
      <c r="T94" s="246"/>
      <c r="U94" s="244" t="s">
        <v>155</v>
      </c>
      <c r="V94" s="243" t="s">
        <v>156</v>
      </c>
      <c r="W94" s="246"/>
      <c r="X94" s="246"/>
      <c r="Y94" s="246"/>
      <c r="Z94" s="244" t="s">
        <v>163</v>
      </c>
      <c r="AA94" s="243" t="s">
        <v>157</v>
      </c>
      <c r="AB94" s="246"/>
      <c r="AC94" s="246"/>
      <c r="AD94" s="244" t="s">
        <v>155</v>
      </c>
      <c r="AE94" s="243" t="s">
        <v>158</v>
      </c>
    </row>
    <row r="95" spans="1:31" x14ac:dyDescent="0.25">
      <c r="D95" s="246"/>
      <c r="E95" s="246"/>
      <c r="F95" s="246"/>
      <c r="G95" s="246"/>
      <c r="H95" s="246"/>
      <c r="I95" s="174" t="s">
        <v>79</v>
      </c>
      <c r="J95" s="141">
        <v>4221</v>
      </c>
      <c r="K95" s="246"/>
      <c r="L95" s="246"/>
      <c r="M95" s="174" t="s">
        <v>79</v>
      </c>
      <c r="N95" s="141">
        <v>9.74</v>
      </c>
      <c r="O95" s="246"/>
      <c r="U95" s="137" t="s">
        <v>185</v>
      </c>
      <c r="V95" s="240">
        <v>8.4000000000000005E-2</v>
      </c>
      <c r="Z95" s="137" t="s">
        <v>149</v>
      </c>
      <c r="AA95" s="240">
        <v>4.2000000000000003E-2</v>
      </c>
      <c r="AD95" s="137" t="s">
        <v>122</v>
      </c>
      <c r="AE95" s="240">
        <v>2.21</v>
      </c>
    </row>
    <row r="96" spans="1:31" x14ac:dyDescent="0.25">
      <c r="U96" s="137" t="s">
        <v>150</v>
      </c>
      <c r="V96" s="240">
        <v>0.218</v>
      </c>
      <c r="Z96" s="137" t="s">
        <v>122</v>
      </c>
      <c r="AA96" s="240">
        <v>4.2000000000000003E-2</v>
      </c>
      <c r="AD96" s="137" t="s">
        <v>149</v>
      </c>
      <c r="AE96" s="240">
        <v>2.2999999999999998</v>
      </c>
    </row>
    <row r="97" spans="1:31" x14ac:dyDescent="0.25">
      <c r="A97" s="239" t="s">
        <v>177</v>
      </c>
      <c r="B97" s="239"/>
      <c r="U97" s="137" t="s">
        <v>102</v>
      </c>
      <c r="V97" s="240">
        <v>0.45200000000000001</v>
      </c>
      <c r="Z97" s="137" t="s">
        <v>102</v>
      </c>
      <c r="AA97" s="240">
        <v>4.7E-2</v>
      </c>
      <c r="AD97" s="137" t="s">
        <v>150</v>
      </c>
      <c r="AE97" s="240">
        <v>2.78</v>
      </c>
    </row>
    <row r="98" spans="1:31" x14ac:dyDescent="0.25">
      <c r="A98" s="246" t="s">
        <v>151</v>
      </c>
      <c r="B98" s="246"/>
      <c r="C98" s="246"/>
      <c r="D98" s="246"/>
      <c r="E98" s="246"/>
      <c r="F98" s="246"/>
      <c r="G98" s="246"/>
      <c r="H98" s="246"/>
      <c r="I98" s="246" t="s">
        <v>152</v>
      </c>
      <c r="J98" s="246"/>
      <c r="K98" s="246"/>
      <c r="L98" s="246"/>
      <c r="M98" s="246" t="s">
        <v>153</v>
      </c>
      <c r="N98" s="246"/>
    </row>
    <row r="99" spans="1:31" x14ac:dyDescent="0.25">
      <c r="A99" s="246" t="s">
        <v>167</v>
      </c>
      <c r="B99" s="246"/>
      <c r="C99" s="246"/>
      <c r="D99" s="244" t="s">
        <v>155</v>
      </c>
      <c r="E99" s="243" t="s">
        <v>156</v>
      </c>
      <c r="F99" s="246"/>
      <c r="G99" s="246"/>
      <c r="H99" s="246"/>
      <c r="I99" s="244" t="s">
        <v>163</v>
      </c>
      <c r="J99" s="243" t="s">
        <v>157</v>
      </c>
      <c r="K99" s="246"/>
      <c r="L99" s="246"/>
      <c r="M99" s="244" t="s">
        <v>155</v>
      </c>
      <c r="N99" s="243" t="s">
        <v>158</v>
      </c>
    </row>
    <row r="100" spans="1:31" x14ac:dyDescent="0.25">
      <c r="A100" s="246"/>
      <c r="B100" s="246"/>
      <c r="C100" s="246"/>
      <c r="D100" s="137" t="s">
        <v>175</v>
      </c>
      <c r="E100" s="240">
        <v>0.13400000000000001</v>
      </c>
      <c r="F100" s="246"/>
      <c r="G100" s="246"/>
      <c r="H100" s="246"/>
      <c r="I100" s="137" t="s">
        <v>91</v>
      </c>
      <c r="J100" s="240">
        <v>7.2999999999999995E-2</v>
      </c>
      <c r="K100" s="246"/>
      <c r="L100" s="246"/>
      <c r="M100" s="137" t="s">
        <v>83</v>
      </c>
      <c r="N100" s="240">
        <v>1.68</v>
      </c>
      <c r="R100" s="248" t="s">
        <v>186</v>
      </c>
      <c r="S100" s="248"/>
    </row>
    <row r="101" spans="1:31" x14ac:dyDescent="0.25">
      <c r="A101" s="246"/>
      <c r="B101" s="246"/>
      <c r="C101" s="246"/>
      <c r="D101" s="137" t="s">
        <v>91</v>
      </c>
      <c r="E101" s="240">
        <v>0.30299999999999999</v>
      </c>
      <c r="F101" s="246"/>
      <c r="G101" s="246"/>
      <c r="H101" s="246"/>
      <c r="I101" s="137" t="s">
        <v>83</v>
      </c>
      <c r="J101" s="240">
        <v>0.156</v>
      </c>
      <c r="K101" s="246"/>
      <c r="L101" s="246"/>
      <c r="M101" s="137" t="s">
        <v>91</v>
      </c>
      <c r="N101" s="240">
        <v>1.86</v>
      </c>
      <c r="R101" s="246" t="s">
        <v>151</v>
      </c>
      <c r="S101" s="246"/>
      <c r="T101" s="246"/>
      <c r="U101" s="246"/>
      <c r="V101" s="246"/>
      <c r="W101" s="246"/>
      <c r="X101" s="246"/>
      <c r="Y101" s="246"/>
      <c r="Z101" s="246" t="s">
        <v>152</v>
      </c>
      <c r="AA101" s="246"/>
      <c r="AB101" s="246"/>
      <c r="AC101" s="246"/>
      <c r="AD101" s="246" t="s">
        <v>153</v>
      </c>
      <c r="AE101" s="246"/>
    </row>
    <row r="102" spans="1:31" x14ac:dyDescent="0.25">
      <c r="A102" s="246"/>
      <c r="B102" s="246"/>
      <c r="C102" s="246"/>
      <c r="D102" s="137" t="s">
        <v>83</v>
      </c>
      <c r="E102" s="240">
        <v>0.432</v>
      </c>
      <c r="F102" s="246"/>
      <c r="G102" s="246"/>
      <c r="H102" s="246"/>
      <c r="I102" s="137" t="s">
        <v>121</v>
      </c>
      <c r="J102" s="240">
        <v>0.23400000000000001</v>
      </c>
      <c r="K102" s="246"/>
      <c r="L102" s="246"/>
      <c r="M102" s="137" t="s">
        <v>102</v>
      </c>
      <c r="N102" s="240">
        <v>3.22</v>
      </c>
      <c r="R102" s="246" t="s">
        <v>167</v>
      </c>
      <c r="S102" s="246"/>
      <c r="T102" s="246"/>
      <c r="U102" s="244" t="s">
        <v>155</v>
      </c>
      <c r="V102" s="243" t="s">
        <v>156</v>
      </c>
      <c r="W102" s="246"/>
      <c r="X102" s="246"/>
      <c r="Y102" s="246"/>
      <c r="Z102" s="244" t="s">
        <v>163</v>
      </c>
      <c r="AA102" s="243" t="s">
        <v>157</v>
      </c>
      <c r="AB102" s="246"/>
      <c r="AC102" s="246"/>
      <c r="AD102" s="244" t="s">
        <v>155</v>
      </c>
      <c r="AE102" s="243" t="s">
        <v>158</v>
      </c>
    </row>
    <row r="103" spans="1:31" x14ac:dyDescent="0.25">
      <c r="A103" s="246"/>
      <c r="B103" s="246"/>
      <c r="C103" s="246"/>
      <c r="D103" s="137" t="s">
        <v>121</v>
      </c>
      <c r="E103" s="240">
        <v>0.61399999999999999</v>
      </c>
      <c r="F103" s="246"/>
      <c r="G103" s="246"/>
      <c r="H103" s="246"/>
      <c r="I103" s="137" t="s">
        <v>122</v>
      </c>
      <c r="J103" s="240">
        <v>0.25800000000000001</v>
      </c>
      <c r="K103" s="246"/>
      <c r="L103" s="246"/>
      <c r="M103" s="137" t="s">
        <v>150</v>
      </c>
      <c r="N103" s="240">
        <v>3.34</v>
      </c>
      <c r="R103" s="246"/>
      <c r="S103" s="246"/>
      <c r="U103" s="137" t="s">
        <v>187</v>
      </c>
      <c r="V103" s="240">
        <v>0.38100000000000001</v>
      </c>
      <c r="Z103" s="137" t="s">
        <v>121</v>
      </c>
      <c r="AA103" s="240">
        <v>0.247</v>
      </c>
      <c r="AD103" s="137" t="s">
        <v>121</v>
      </c>
      <c r="AE103" s="240">
        <v>1.32</v>
      </c>
    </row>
    <row r="104" spans="1:31" x14ac:dyDescent="0.25">
      <c r="A104" s="246"/>
      <c r="B104" s="246"/>
      <c r="C104" s="246"/>
      <c r="D104" s="137" t="s">
        <v>122</v>
      </c>
      <c r="E104" s="240">
        <v>0.78500000000000003</v>
      </c>
      <c r="F104" s="246"/>
      <c r="G104" s="246"/>
      <c r="H104" s="246"/>
      <c r="I104" s="137" t="s">
        <v>150</v>
      </c>
      <c r="J104" s="240">
        <v>0.77500000000000002</v>
      </c>
      <c r="K104" s="246"/>
      <c r="L104" s="246"/>
      <c r="M104" s="137" t="s">
        <v>121</v>
      </c>
      <c r="N104" s="240">
        <v>3.66</v>
      </c>
      <c r="R104" s="246"/>
      <c r="S104" s="246"/>
      <c r="U104" s="137" t="s">
        <v>121</v>
      </c>
      <c r="V104" s="240">
        <v>0.47299999999999998</v>
      </c>
      <c r="Z104" s="137" t="s">
        <v>150</v>
      </c>
      <c r="AA104" s="240">
        <v>0.247</v>
      </c>
      <c r="AD104" s="137" t="s">
        <v>149</v>
      </c>
      <c r="AE104" s="240">
        <v>2.21</v>
      </c>
    </row>
    <row r="105" spans="1:31" x14ac:dyDescent="0.25">
      <c r="A105" s="246"/>
      <c r="B105" s="246"/>
      <c r="C105" s="246"/>
      <c r="D105" s="137" t="s">
        <v>95</v>
      </c>
      <c r="E105" s="240">
        <v>0.97599999999999998</v>
      </c>
      <c r="F105" s="246"/>
      <c r="G105" s="246"/>
      <c r="H105" s="246"/>
      <c r="I105" s="137" t="s">
        <v>102</v>
      </c>
      <c r="J105" s="240">
        <v>0.78600000000000003</v>
      </c>
      <c r="K105" s="246"/>
      <c r="L105" s="246"/>
      <c r="M105" s="137" t="s">
        <v>122</v>
      </c>
      <c r="N105" s="240">
        <v>4.9000000000000004</v>
      </c>
      <c r="R105" s="246"/>
      <c r="S105" s="246"/>
      <c r="U105" s="137" t="s">
        <v>79</v>
      </c>
      <c r="V105" s="240">
        <v>0.52600000000000002</v>
      </c>
      <c r="Z105" s="137" t="s">
        <v>149</v>
      </c>
      <c r="AA105" s="240">
        <v>0.437</v>
      </c>
      <c r="AD105" s="137" t="s">
        <v>95</v>
      </c>
      <c r="AE105" s="240">
        <v>2.21</v>
      </c>
    </row>
    <row r="106" spans="1:31" x14ac:dyDescent="0.25">
      <c r="A106" s="246"/>
      <c r="B106" s="246"/>
      <c r="C106" s="246"/>
      <c r="D106" s="137" t="s">
        <v>149</v>
      </c>
      <c r="E106" s="240">
        <v>1.125</v>
      </c>
      <c r="F106" s="246"/>
      <c r="G106" s="246"/>
      <c r="H106" s="246"/>
      <c r="I106" s="137" t="s">
        <v>149</v>
      </c>
      <c r="J106" s="240">
        <v>1.117</v>
      </c>
      <c r="K106" s="246"/>
      <c r="L106" s="246"/>
      <c r="M106" s="137" t="s">
        <v>149</v>
      </c>
      <c r="N106" s="240">
        <v>7.24</v>
      </c>
    </row>
    <row r="107" spans="1:31" x14ac:dyDescent="0.25">
      <c r="A107" s="246"/>
      <c r="B107" s="246"/>
      <c r="C107" s="246"/>
      <c r="D107" s="137" t="s">
        <v>101</v>
      </c>
      <c r="E107" s="240">
        <v>1.552</v>
      </c>
      <c r="F107" s="246"/>
      <c r="G107" s="246"/>
      <c r="H107" s="246"/>
      <c r="I107" s="137" t="s">
        <v>95</v>
      </c>
      <c r="J107" s="240">
        <v>1.3520000000000001</v>
      </c>
      <c r="K107" s="246"/>
      <c r="L107" s="246"/>
      <c r="M107" s="137" t="s">
        <v>95</v>
      </c>
      <c r="N107" s="240">
        <v>7.74</v>
      </c>
      <c r="R107" s="247" t="s">
        <v>188</v>
      </c>
      <c r="S107" s="247"/>
    </row>
    <row r="108" spans="1:31" x14ac:dyDescent="0.25">
      <c r="A108" s="246"/>
      <c r="B108" s="246"/>
      <c r="C108" s="246"/>
      <c r="D108" s="141" t="s">
        <v>79</v>
      </c>
      <c r="E108" s="241">
        <v>2.1030000000000002</v>
      </c>
      <c r="F108" s="246"/>
      <c r="G108" s="246"/>
      <c r="H108" s="246"/>
      <c r="I108" s="137" t="s">
        <v>101</v>
      </c>
      <c r="J108" s="240">
        <v>3.339</v>
      </c>
      <c r="K108" s="246"/>
      <c r="L108" s="246"/>
      <c r="M108" s="137" t="s">
        <v>101</v>
      </c>
      <c r="N108" s="240">
        <v>9.24</v>
      </c>
      <c r="R108" s="246" t="s">
        <v>151</v>
      </c>
      <c r="S108" s="246"/>
      <c r="T108" s="246"/>
      <c r="U108" s="246"/>
      <c r="V108" s="246"/>
      <c r="W108" s="246"/>
      <c r="X108" s="246"/>
      <c r="Y108" s="246"/>
      <c r="Z108" s="246" t="s">
        <v>152</v>
      </c>
      <c r="AA108" s="246"/>
      <c r="AB108" s="246"/>
      <c r="AC108" s="246"/>
      <c r="AD108" s="246" t="s">
        <v>153</v>
      </c>
      <c r="AE108" s="246"/>
    </row>
    <row r="109" spans="1:31" x14ac:dyDescent="0.25">
      <c r="A109" s="246"/>
      <c r="B109" s="246"/>
      <c r="C109" s="246"/>
      <c r="D109" s="246"/>
      <c r="E109" s="246"/>
      <c r="F109" s="246"/>
      <c r="G109" s="246"/>
      <c r="H109" s="246"/>
      <c r="I109" s="174" t="s">
        <v>79</v>
      </c>
      <c r="J109" s="141">
        <v>4.2210000000000001</v>
      </c>
      <c r="K109" s="246"/>
      <c r="L109" s="246"/>
      <c r="M109" s="174" t="s">
        <v>79</v>
      </c>
      <c r="N109" s="141">
        <v>9.74</v>
      </c>
      <c r="R109" s="246" t="s">
        <v>167</v>
      </c>
      <c r="S109" s="246"/>
      <c r="T109" s="246"/>
      <c r="U109" s="244" t="s">
        <v>155</v>
      </c>
      <c r="V109" s="243" t="s">
        <v>156</v>
      </c>
      <c r="W109" s="246"/>
      <c r="X109" s="246"/>
      <c r="Y109" s="246"/>
      <c r="Z109" s="244" t="s">
        <v>163</v>
      </c>
      <c r="AA109" s="243" t="s">
        <v>157</v>
      </c>
      <c r="AB109" s="246"/>
      <c r="AC109" s="246"/>
      <c r="AD109" s="244" t="s">
        <v>155</v>
      </c>
      <c r="AE109" s="243" t="s">
        <v>158</v>
      </c>
    </row>
    <row r="110" spans="1:31" x14ac:dyDescent="0.25">
      <c r="A110" s="246"/>
      <c r="B110" s="246"/>
      <c r="C110" s="246"/>
      <c r="D110" s="246"/>
      <c r="E110" s="246"/>
      <c r="F110" s="246"/>
      <c r="G110" s="246"/>
      <c r="H110" s="246"/>
      <c r="K110" s="246"/>
      <c r="L110" s="246"/>
      <c r="U110" s="137" t="s">
        <v>189</v>
      </c>
      <c r="V110" s="240">
        <v>7.4999999999999997E-2</v>
      </c>
      <c r="Z110" s="137" t="s">
        <v>95</v>
      </c>
      <c r="AA110" s="240">
        <v>0.33600000000000002</v>
      </c>
      <c r="AD110" s="137" t="s">
        <v>150</v>
      </c>
      <c r="AE110" s="240">
        <v>1.57</v>
      </c>
    </row>
    <row r="111" spans="1:31" x14ac:dyDescent="0.25">
      <c r="A111" s="246"/>
      <c r="B111" s="246"/>
      <c r="C111" s="246"/>
      <c r="D111" s="246"/>
      <c r="E111" s="246"/>
      <c r="F111" s="246"/>
      <c r="G111" s="246"/>
      <c r="H111" s="246"/>
      <c r="K111" s="246"/>
      <c r="L111" s="246"/>
      <c r="U111" s="137" t="s">
        <v>122</v>
      </c>
      <c r="V111" s="240">
        <v>0.29799999999999999</v>
      </c>
      <c r="Z111" s="137" t="s">
        <v>150</v>
      </c>
      <c r="AA111" s="240">
        <v>0.89100000000000001</v>
      </c>
      <c r="AD111" s="137" t="s">
        <v>95</v>
      </c>
      <c r="AE111" s="240">
        <v>1.97</v>
      </c>
    </row>
    <row r="112" spans="1:31" x14ac:dyDescent="0.25">
      <c r="A112" s="248" t="s">
        <v>180</v>
      </c>
      <c r="B112" s="248"/>
      <c r="U112" s="137" t="s">
        <v>102</v>
      </c>
      <c r="V112" s="240">
        <v>0.35899999999999999</v>
      </c>
      <c r="Z112" s="137" t="s">
        <v>121</v>
      </c>
      <c r="AA112" s="240">
        <v>0.97</v>
      </c>
      <c r="AD112" s="137" t="s">
        <v>121</v>
      </c>
      <c r="AE112" s="240">
        <v>2.21</v>
      </c>
    </row>
    <row r="113" spans="1:14" x14ac:dyDescent="0.25">
      <c r="A113" s="246" t="s">
        <v>151</v>
      </c>
      <c r="B113" s="246"/>
      <c r="C113" s="246"/>
      <c r="D113" s="246"/>
      <c r="E113" s="246"/>
      <c r="F113" s="246"/>
      <c r="G113" s="246"/>
      <c r="H113" s="246"/>
      <c r="I113" s="246" t="s">
        <v>152</v>
      </c>
      <c r="J113" s="246"/>
      <c r="K113" s="246"/>
      <c r="L113" s="246"/>
      <c r="M113" s="246" t="s">
        <v>153</v>
      </c>
      <c r="N113" s="246"/>
    </row>
    <row r="114" spans="1:14" x14ac:dyDescent="0.25">
      <c r="A114" s="246" t="s">
        <v>167</v>
      </c>
      <c r="B114" s="246"/>
      <c r="C114" s="246"/>
      <c r="D114" s="244" t="s">
        <v>155</v>
      </c>
      <c r="E114" s="243" t="s">
        <v>156</v>
      </c>
      <c r="F114" s="246"/>
      <c r="G114" s="246"/>
      <c r="H114" s="246"/>
      <c r="I114" s="244" t="s">
        <v>163</v>
      </c>
      <c r="J114" s="243" t="s">
        <v>157</v>
      </c>
      <c r="K114" s="246"/>
      <c r="L114" s="246"/>
      <c r="M114" s="244" t="s">
        <v>155</v>
      </c>
      <c r="N114" s="243" t="s">
        <v>158</v>
      </c>
    </row>
    <row r="115" spans="1:14" x14ac:dyDescent="0.25">
      <c r="A115" s="246"/>
      <c r="B115" s="246"/>
      <c r="C115" s="246"/>
      <c r="D115" s="137" t="s">
        <v>181</v>
      </c>
      <c r="E115" s="240">
        <v>4.5999999999999999E-2</v>
      </c>
      <c r="F115" s="246"/>
      <c r="G115" s="246"/>
      <c r="H115" s="246"/>
      <c r="I115" s="137" t="s">
        <v>83</v>
      </c>
      <c r="J115" s="240">
        <v>0.70099999999999996</v>
      </c>
      <c r="K115" s="246"/>
      <c r="L115" s="246"/>
      <c r="M115" s="137" t="s">
        <v>79</v>
      </c>
      <c r="N115" s="240">
        <v>2.38</v>
      </c>
    </row>
    <row r="116" spans="1:14" x14ac:dyDescent="0.25">
      <c r="A116" s="246"/>
      <c r="B116" s="246"/>
      <c r="C116" s="246"/>
      <c r="D116" s="137" t="s">
        <v>121</v>
      </c>
      <c r="E116" s="240">
        <v>0.13700000000000001</v>
      </c>
      <c r="F116" s="246"/>
      <c r="G116" s="246"/>
      <c r="H116" s="246"/>
      <c r="I116" s="137" t="s">
        <v>79</v>
      </c>
      <c r="J116" s="240">
        <v>0.88300000000000001</v>
      </c>
      <c r="K116" s="246"/>
      <c r="L116" s="246"/>
      <c r="M116" s="137" t="s">
        <v>91</v>
      </c>
      <c r="N116" s="240">
        <v>2.78</v>
      </c>
    </row>
    <row r="117" spans="1:14" x14ac:dyDescent="0.25">
      <c r="A117" s="246"/>
      <c r="B117" s="246"/>
      <c r="C117" s="246"/>
      <c r="D117" s="137" t="s">
        <v>79</v>
      </c>
      <c r="E117" s="240">
        <v>0.14799999999999999</v>
      </c>
      <c r="F117" s="246"/>
      <c r="G117" s="246"/>
      <c r="H117" s="246"/>
      <c r="I117" s="137" t="s">
        <v>149</v>
      </c>
      <c r="J117" s="240">
        <v>0.88400000000000001</v>
      </c>
      <c r="K117" s="246"/>
      <c r="L117" s="246"/>
      <c r="M117" s="137" t="s">
        <v>95</v>
      </c>
      <c r="N117" s="240">
        <v>2.89</v>
      </c>
    </row>
    <row r="118" spans="1:14" x14ac:dyDescent="0.25">
      <c r="A118" s="246"/>
      <c r="B118" s="246"/>
      <c r="C118" s="246"/>
      <c r="D118" s="137" t="s">
        <v>150</v>
      </c>
      <c r="E118" s="240">
        <v>0.17299999999999999</v>
      </c>
      <c r="F118" s="246"/>
      <c r="G118" s="246"/>
      <c r="H118" s="246"/>
      <c r="I118" s="137" t="s">
        <v>121</v>
      </c>
      <c r="J118" s="240">
        <v>0.92900000000000005</v>
      </c>
      <c r="K118" s="246"/>
      <c r="L118" s="246"/>
      <c r="M118" s="137" t="s">
        <v>83</v>
      </c>
      <c r="N118" s="240">
        <v>3.03</v>
      </c>
    </row>
    <row r="119" spans="1:14" x14ac:dyDescent="0.25">
      <c r="A119" s="246"/>
      <c r="B119" s="246"/>
      <c r="C119" s="246"/>
      <c r="D119" s="137" t="s">
        <v>83</v>
      </c>
      <c r="E119" s="240">
        <v>0.20300000000000001</v>
      </c>
      <c r="F119" s="246"/>
      <c r="G119" s="246"/>
      <c r="H119" s="246"/>
      <c r="I119" s="137" t="s">
        <v>91</v>
      </c>
      <c r="J119" s="240">
        <v>1.097</v>
      </c>
      <c r="K119" s="246"/>
      <c r="L119" s="246"/>
      <c r="M119" s="137" t="s">
        <v>150</v>
      </c>
      <c r="N119" s="240">
        <v>3.66</v>
      </c>
    </row>
    <row r="120" spans="1:14" x14ac:dyDescent="0.25">
      <c r="A120" s="246"/>
      <c r="B120" s="246"/>
      <c r="C120" s="246"/>
      <c r="D120" s="137" t="s">
        <v>149</v>
      </c>
      <c r="E120" s="240">
        <v>0.25</v>
      </c>
      <c r="F120" s="246"/>
      <c r="G120" s="246"/>
      <c r="H120" s="246"/>
      <c r="I120" s="137" t="s">
        <v>150</v>
      </c>
      <c r="J120" s="240">
        <v>1.1180000000000001</v>
      </c>
      <c r="K120" s="246"/>
      <c r="L120" s="246"/>
      <c r="M120" s="137" t="s">
        <v>121</v>
      </c>
      <c r="N120" s="240">
        <v>3.83</v>
      </c>
    </row>
    <row r="121" spans="1:14" x14ac:dyDescent="0.25">
      <c r="A121" s="246"/>
      <c r="B121" s="246"/>
      <c r="C121" s="246"/>
      <c r="D121" s="137" t="s">
        <v>102</v>
      </c>
      <c r="E121" s="240">
        <v>0.92200000000000004</v>
      </c>
      <c r="F121" s="246"/>
      <c r="G121" s="246"/>
      <c r="H121" s="246"/>
      <c r="I121" s="137" t="s">
        <v>95</v>
      </c>
      <c r="J121" s="240">
        <v>1.151</v>
      </c>
      <c r="K121" s="246"/>
      <c r="L121" s="246"/>
      <c r="M121" s="137" t="s">
        <v>149</v>
      </c>
      <c r="N121" s="240">
        <v>5.21</v>
      </c>
    </row>
    <row r="122" spans="1:14" x14ac:dyDescent="0.25">
      <c r="A122" s="246"/>
      <c r="B122" s="246"/>
      <c r="C122" s="246"/>
      <c r="D122" s="137" t="s">
        <v>101</v>
      </c>
      <c r="E122" s="240">
        <v>1.367</v>
      </c>
      <c r="F122" s="246"/>
      <c r="G122" s="246"/>
      <c r="H122" s="246"/>
      <c r="I122" s="137" t="s">
        <v>102</v>
      </c>
      <c r="J122" s="240">
        <v>2.0880000000000001</v>
      </c>
      <c r="K122" s="246"/>
      <c r="L122" s="246"/>
      <c r="M122" s="137" t="s">
        <v>102</v>
      </c>
      <c r="N122" s="240">
        <v>8</v>
      </c>
    </row>
    <row r="123" spans="1:14" x14ac:dyDescent="0.25">
      <c r="A123" s="246"/>
      <c r="B123" s="246"/>
      <c r="C123" s="246"/>
      <c r="D123" s="141" t="s">
        <v>122</v>
      </c>
      <c r="E123" s="241">
        <v>1.7290000000000001</v>
      </c>
      <c r="F123" s="246"/>
      <c r="G123" s="246"/>
      <c r="H123" s="246"/>
      <c r="I123" s="137" t="s">
        <v>101</v>
      </c>
      <c r="J123" s="240">
        <v>2.4569999999999999</v>
      </c>
      <c r="K123" s="246"/>
      <c r="L123" s="246"/>
      <c r="M123" s="137" t="s">
        <v>101</v>
      </c>
      <c r="N123" s="240">
        <v>9</v>
      </c>
    </row>
    <row r="124" spans="1:14" x14ac:dyDescent="0.25">
      <c r="A124" s="246"/>
      <c r="B124" s="246"/>
      <c r="C124" s="246"/>
      <c r="D124" s="246"/>
      <c r="E124" s="246"/>
      <c r="F124" s="246"/>
      <c r="G124" s="246"/>
      <c r="H124" s="246"/>
      <c r="I124" s="174" t="s">
        <v>122</v>
      </c>
      <c r="J124" s="141">
        <v>3.1269999999999998</v>
      </c>
      <c r="K124" s="246"/>
      <c r="L124" s="246"/>
      <c r="M124" s="174" t="s">
        <v>122</v>
      </c>
      <c r="N124" s="141">
        <v>10</v>
      </c>
    </row>
    <row r="125" spans="1:14" x14ac:dyDescent="0.25">
      <c r="A125" s="246"/>
      <c r="B125" s="246"/>
      <c r="C125" s="246"/>
      <c r="D125" s="246"/>
      <c r="E125" s="246"/>
      <c r="F125" s="246"/>
      <c r="G125" s="246"/>
      <c r="H125" s="246"/>
      <c r="K125" s="246"/>
      <c r="L125" s="246"/>
    </row>
    <row r="126" spans="1:14" x14ac:dyDescent="0.25">
      <c r="A126" s="246"/>
      <c r="B126" s="246"/>
      <c r="C126" s="246"/>
      <c r="D126" s="246"/>
      <c r="E126" s="246"/>
      <c r="F126" s="246"/>
      <c r="G126" s="246"/>
      <c r="H126" s="246"/>
      <c r="K126" s="246"/>
      <c r="L126" s="246"/>
    </row>
    <row r="127" spans="1:14" x14ac:dyDescent="0.25">
      <c r="A127" s="246"/>
      <c r="B127" s="246"/>
      <c r="C127" s="246"/>
      <c r="D127" s="246"/>
      <c r="E127" s="246"/>
      <c r="F127" s="246"/>
      <c r="G127" s="246"/>
      <c r="H127" s="246"/>
      <c r="K127" s="246"/>
      <c r="L127" s="246"/>
    </row>
    <row r="128" spans="1:14" x14ac:dyDescent="0.25">
      <c r="A128" s="247" t="s">
        <v>182</v>
      </c>
      <c r="B128" s="247"/>
    </row>
    <row r="129" spans="1:14" x14ac:dyDescent="0.25">
      <c r="A129" s="246" t="s">
        <v>151</v>
      </c>
      <c r="B129" s="246"/>
      <c r="C129" s="246"/>
      <c r="D129" s="246"/>
      <c r="E129" s="246"/>
      <c r="F129" s="246"/>
      <c r="G129" s="246"/>
      <c r="H129" s="246"/>
      <c r="I129" s="246" t="s">
        <v>152</v>
      </c>
      <c r="J129" s="246"/>
      <c r="K129" s="246"/>
      <c r="L129" s="246"/>
      <c r="M129" s="246" t="s">
        <v>153</v>
      </c>
      <c r="N129" s="246"/>
    </row>
    <row r="130" spans="1:14" x14ac:dyDescent="0.25">
      <c r="A130" s="246" t="s">
        <v>167</v>
      </c>
      <c r="B130" s="246"/>
      <c r="C130" s="246"/>
      <c r="D130" s="244" t="s">
        <v>155</v>
      </c>
      <c r="E130" s="243" t="s">
        <v>156</v>
      </c>
      <c r="F130" s="246"/>
      <c r="G130" s="246"/>
      <c r="H130" s="246"/>
      <c r="I130" s="244" t="s">
        <v>163</v>
      </c>
      <c r="J130" s="243" t="s">
        <v>157</v>
      </c>
      <c r="K130" s="246"/>
      <c r="L130" s="246"/>
      <c r="M130" s="244" t="s">
        <v>155</v>
      </c>
      <c r="N130" s="243" t="s">
        <v>158</v>
      </c>
    </row>
    <row r="131" spans="1:14" x14ac:dyDescent="0.25">
      <c r="D131" s="137" t="s">
        <v>183</v>
      </c>
      <c r="E131" s="240">
        <v>0.44700000000000001</v>
      </c>
      <c r="I131" s="137" t="s">
        <v>150</v>
      </c>
      <c r="J131" s="240">
        <v>6.5000000000000002E-2</v>
      </c>
      <c r="M131" s="137" t="s">
        <v>150</v>
      </c>
      <c r="N131" s="240">
        <v>2.34</v>
      </c>
    </row>
    <row r="132" spans="1:14" x14ac:dyDescent="0.25">
      <c r="D132" s="137" t="s">
        <v>79</v>
      </c>
      <c r="E132" s="240">
        <v>0.59399999999999997</v>
      </c>
      <c r="I132" s="137" t="s">
        <v>122</v>
      </c>
      <c r="J132" s="240">
        <v>0.27900000000000003</v>
      </c>
      <c r="M132" s="137" t="s">
        <v>122</v>
      </c>
      <c r="N132" s="240">
        <v>2.38</v>
      </c>
    </row>
    <row r="133" spans="1:14" x14ac:dyDescent="0.25">
      <c r="D133" s="137" t="s">
        <v>102</v>
      </c>
      <c r="E133" s="240">
        <v>0.89700000000000002</v>
      </c>
      <c r="I133" s="137" t="s">
        <v>149</v>
      </c>
      <c r="J133" s="240">
        <v>0.31900000000000001</v>
      </c>
      <c r="M133" s="137" t="s">
        <v>149</v>
      </c>
      <c r="N133" s="240">
        <v>3.03</v>
      </c>
    </row>
    <row r="134" spans="1:14" x14ac:dyDescent="0.25">
      <c r="D134" s="137" t="s">
        <v>95</v>
      </c>
      <c r="E134" s="240">
        <v>1052</v>
      </c>
      <c r="I134" s="137" t="s">
        <v>95</v>
      </c>
      <c r="J134" s="240">
        <v>0.48399999999999999</v>
      </c>
      <c r="M134" s="137" t="s">
        <v>95</v>
      </c>
      <c r="N134" s="240">
        <v>3.83</v>
      </c>
    </row>
    <row r="135" spans="1:14" x14ac:dyDescent="0.25">
      <c r="D135" s="137" t="s">
        <v>150</v>
      </c>
      <c r="E135" s="240">
        <v>1250</v>
      </c>
      <c r="I135" s="137" t="s">
        <v>83</v>
      </c>
      <c r="J135" s="240">
        <v>0.48599999999999999</v>
      </c>
      <c r="M135" s="137" t="s">
        <v>83</v>
      </c>
      <c r="N135" s="240">
        <v>4.16</v>
      </c>
    </row>
    <row r="136" spans="1:14" x14ac:dyDescent="0.25">
      <c r="D136" s="137" t="s">
        <v>149</v>
      </c>
      <c r="E136" s="240">
        <v>1406</v>
      </c>
      <c r="I136" s="137" t="s">
        <v>121</v>
      </c>
      <c r="J136" s="240">
        <v>0.502</v>
      </c>
      <c r="M136" s="137" t="s">
        <v>102</v>
      </c>
      <c r="N136" s="240">
        <v>4.28</v>
      </c>
    </row>
    <row r="137" spans="1:14" x14ac:dyDescent="0.25">
      <c r="D137" s="137" t="s">
        <v>83</v>
      </c>
      <c r="E137" s="240">
        <v>1607</v>
      </c>
      <c r="I137" s="137" t="s">
        <v>102</v>
      </c>
      <c r="J137" s="240">
        <v>0.51800000000000002</v>
      </c>
      <c r="M137" s="137" t="s">
        <v>121</v>
      </c>
      <c r="N137" s="240">
        <v>4.43</v>
      </c>
    </row>
    <row r="138" spans="1:14" x14ac:dyDescent="0.25">
      <c r="D138" s="137" t="s">
        <v>121</v>
      </c>
      <c r="E138" s="240">
        <v>1889</v>
      </c>
      <c r="I138" s="137" t="s">
        <v>79</v>
      </c>
      <c r="J138" s="240">
        <v>0.70799999999999996</v>
      </c>
      <c r="M138" s="137" t="s">
        <v>91</v>
      </c>
      <c r="N138" s="240">
        <v>6.85</v>
      </c>
    </row>
    <row r="139" spans="1:14" x14ac:dyDescent="0.25">
      <c r="D139" s="141" t="s">
        <v>101</v>
      </c>
      <c r="E139" s="241">
        <v>2456</v>
      </c>
      <c r="I139" s="137" t="s">
        <v>91</v>
      </c>
      <c r="J139" s="240">
        <v>0.75600000000000001</v>
      </c>
      <c r="M139" s="137" t="s">
        <v>79</v>
      </c>
      <c r="N139" s="240">
        <v>8.74</v>
      </c>
    </row>
    <row r="140" spans="1:14" x14ac:dyDescent="0.25">
      <c r="I140" s="174" t="s">
        <v>101</v>
      </c>
      <c r="J140" s="141">
        <v>3.4350000000000001</v>
      </c>
      <c r="M140" s="174" t="s">
        <v>101</v>
      </c>
      <c r="N140" s="141">
        <v>10</v>
      </c>
    </row>
    <row r="143" spans="1:14" x14ac:dyDescent="0.25">
      <c r="A143" s="239" t="s">
        <v>184</v>
      </c>
      <c r="B143" s="239"/>
    </row>
    <row r="144" spans="1:14" x14ac:dyDescent="0.25">
      <c r="A144" s="246" t="s">
        <v>151</v>
      </c>
      <c r="B144" s="246"/>
      <c r="C144" s="246"/>
      <c r="D144" s="246"/>
      <c r="E144" s="246"/>
      <c r="F144" s="246"/>
      <c r="G144" s="246"/>
      <c r="H144" s="246"/>
      <c r="I144" s="246" t="s">
        <v>152</v>
      </c>
      <c r="J144" s="246"/>
      <c r="K144" s="246"/>
      <c r="L144" s="246"/>
      <c r="M144" s="246" t="s">
        <v>153</v>
      </c>
      <c r="N144" s="246"/>
    </row>
    <row r="145" spans="1:14" x14ac:dyDescent="0.25">
      <c r="A145" s="246" t="s">
        <v>167</v>
      </c>
      <c r="B145" s="246"/>
      <c r="C145" s="246"/>
      <c r="D145" s="244" t="s">
        <v>155</v>
      </c>
      <c r="E145" s="243" t="s">
        <v>156</v>
      </c>
      <c r="F145" s="246"/>
      <c r="G145" s="246"/>
      <c r="H145" s="246"/>
      <c r="I145" s="244" t="s">
        <v>163</v>
      </c>
      <c r="J145" s="243" t="s">
        <v>157</v>
      </c>
      <c r="K145" s="246"/>
      <c r="L145" s="246"/>
      <c r="M145" s="244" t="s">
        <v>155</v>
      </c>
      <c r="N145" s="243" t="s">
        <v>158</v>
      </c>
    </row>
    <row r="146" spans="1:14" x14ac:dyDescent="0.25">
      <c r="D146" s="137" t="s">
        <v>185</v>
      </c>
      <c r="E146" s="240">
        <v>8.4000000000000005E-2</v>
      </c>
      <c r="I146" s="137" t="s">
        <v>149</v>
      </c>
      <c r="J146" s="240">
        <v>4.2000000000000003E-2</v>
      </c>
      <c r="M146" s="137" t="s">
        <v>122</v>
      </c>
      <c r="N146" s="240">
        <v>2.21</v>
      </c>
    </row>
    <row r="147" spans="1:14" x14ac:dyDescent="0.25">
      <c r="D147" s="137" t="s">
        <v>150</v>
      </c>
      <c r="E147" s="240">
        <v>0.218</v>
      </c>
      <c r="I147" s="137" t="s">
        <v>122</v>
      </c>
      <c r="J147" s="240">
        <v>4.2000000000000003E-2</v>
      </c>
      <c r="M147" s="137" t="s">
        <v>149</v>
      </c>
      <c r="N147" s="240">
        <v>2.2999999999999998</v>
      </c>
    </row>
    <row r="148" spans="1:14" x14ac:dyDescent="0.25">
      <c r="D148" s="137" t="s">
        <v>102</v>
      </c>
      <c r="E148" s="240">
        <v>0.45200000000000001</v>
      </c>
      <c r="I148" s="137" t="s">
        <v>102</v>
      </c>
      <c r="J148" s="240">
        <v>4.7E-2</v>
      </c>
      <c r="M148" s="137" t="s">
        <v>150</v>
      </c>
      <c r="N148" s="240">
        <v>2.78</v>
      </c>
    </row>
    <row r="149" spans="1:14" x14ac:dyDescent="0.25">
      <c r="D149" s="137" t="s">
        <v>95</v>
      </c>
      <c r="E149" s="240">
        <v>0.56699999999999995</v>
      </c>
      <c r="I149" s="137" t="s">
        <v>150</v>
      </c>
      <c r="J149" s="240">
        <v>0.122</v>
      </c>
      <c r="M149" s="137" t="s">
        <v>102</v>
      </c>
      <c r="N149" s="240">
        <v>3.46</v>
      </c>
    </row>
    <row r="150" spans="1:14" x14ac:dyDescent="0.25">
      <c r="D150" s="137" t="s">
        <v>121</v>
      </c>
      <c r="E150" s="240">
        <v>0.75900000000000001</v>
      </c>
      <c r="I150" s="137" t="s">
        <v>95</v>
      </c>
      <c r="J150" s="240">
        <v>0.29299999999999998</v>
      </c>
      <c r="M150" s="137" t="s">
        <v>79</v>
      </c>
      <c r="N150" s="240">
        <v>4.1399999999999997</v>
      </c>
    </row>
    <row r="151" spans="1:14" x14ac:dyDescent="0.25">
      <c r="D151" s="137" t="s">
        <v>79</v>
      </c>
      <c r="E151" s="240">
        <v>0.93700000000000006</v>
      </c>
      <c r="I151" s="137" t="s">
        <v>121</v>
      </c>
      <c r="J151" s="240">
        <v>0.84599999999999997</v>
      </c>
      <c r="M151" s="137" t="s">
        <v>95</v>
      </c>
      <c r="N151" s="240">
        <v>4.4000000000000004</v>
      </c>
    </row>
    <row r="152" spans="1:14" x14ac:dyDescent="0.25">
      <c r="D152" s="137" t="s">
        <v>91</v>
      </c>
      <c r="E152" s="240">
        <v>1.087</v>
      </c>
      <c r="I152" s="137" t="s">
        <v>79</v>
      </c>
      <c r="J152" s="240">
        <v>1.3069999999999999</v>
      </c>
      <c r="M152" s="137" t="s">
        <v>91</v>
      </c>
      <c r="N152" s="240">
        <v>5.66</v>
      </c>
    </row>
    <row r="153" spans="1:14" x14ac:dyDescent="0.25">
      <c r="D153" s="137" t="s">
        <v>83</v>
      </c>
      <c r="E153" s="240">
        <v>1.2929999999999999</v>
      </c>
      <c r="I153" s="137" t="s">
        <v>91</v>
      </c>
      <c r="J153" s="240">
        <v>1.69</v>
      </c>
      <c r="M153" s="137" t="s">
        <v>121</v>
      </c>
      <c r="N153" s="240">
        <v>6.9</v>
      </c>
    </row>
    <row r="154" spans="1:14" x14ac:dyDescent="0.25">
      <c r="D154" s="141" t="s">
        <v>101</v>
      </c>
      <c r="E154" s="241">
        <v>2.129</v>
      </c>
      <c r="I154" s="137" t="s">
        <v>83</v>
      </c>
      <c r="J154" s="240">
        <v>2.351</v>
      </c>
      <c r="M154" s="137" t="s">
        <v>83</v>
      </c>
      <c r="N154" s="240">
        <v>8.74</v>
      </c>
    </row>
    <row r="155" spans="1:14" x14ac:dyDescent="0.25">
      <c r="I155" s="174" t="s">
        <v>101</v>
      </c>
      <c r="J155" s="141">
        <v>5.4390000000000001</v>
      </c>
      <c r="M155" s="174" t="s">
        <v>101</v>
      </c>
      <c r="N155" s="141">
        <v>10</v>
      </c>
    </row>
    <row r="157" spans="1:14" x14ac:dyDescent="0.25">
      <c r="A157" s="248" t="s">
        <v>186</v>
      </c>
      <c r="B157" s="248"/>
    </row>
    <row r="158" spans="1:14" x14ac:dyDescent="0.25">
      <c r="A158" s="246" t="s">
        <v>151</v>
      </c>
      <c r="B158" s="246"/>
      <c r="C158" s="246"/>
      <c r="D158" s="246"/>
      <c r="E158" s="246"/>
      <c r="F158" s="246"/>
      <c r="G158" s="246"/>
      <c r="H158" s="246"/>
      <c r="I158" s="246" t="s">
        <v>152</v>
      </c>
      <c r="J158" s="246"/>
      <c r="K158" s="246"/>
      <c r="L158" s="246"/>
      <c r="M158" s="246" t="s">
        <v>153</v>
      </c>
      <c r="N158" s="246"/>
    </row>
    <row r="159" spans="1:14" x14ac:dyDescent="0.25">
      <c r="A159" s="246" t="s">
        <v>167</v>
      </c>
      <c r="B159" s="246"/>
      <c r="C159" s="246"/>
      <c r="D159" s="244" t="s">
        <v>155</v>
      </c>
      <c r="E159" s="243" t="s">
        <v>156</v>
      </c>
      <c r="F159" s="246"/>
      <c r="G159" s="246"/>
      <c r="H159" s="246"/>
      <c r="I159" s="244" t="s">
        <v>163</v>
      </c>
      <c r="J159" s="243" t="s">
        <v>157</v>
      </c>
      <c r="K159" s="246"/>
      <c r="L159" s="246"/>
      <c r="M159" s="244" t="s">
        <v>155</v>
      </c>
      <c r="N159" s="243" t="s">
        <v>158</v>
      </c>
    </row>
    <row r="160" spans="1:14" x14ac:dyDescent="0.25">
      <c r="A160" s="246"/>
      <c r="B160" s="246"/>
      <c r="D160" s="137" t="s">
        <v>187</v>
      </c>
      <c r="E160" s="240">
        <v>0.38100000000000001</v>
      </c>
      <c r="I160" s="137" t="s">
        <v>121</v>
      </c>
      <c r="J160" s="240">
        <v>0.247</v>
      </c>
      <c r="M160" s="137" t="s">
        <v>121</v>
      </c>
      <c r="N160" s="240">
        <v>1.32</v>
      </c>
    </row>
    <row r="161" spans="1:14" x14ac:dyDescent="0.25">
      <c r="A161" s="246"/>
      <c r="B161" s="246"/>
      <c r="D161" s="137" t="s">
        <v>121</v>
      </c>
      <c r="E161" s="240">
        <v>0.47299999999999998</v>
      </c>
      <c r="I161" s="137" t="s">
        <v>150</v>
      </c>
      <c r="J161" s="240">
        <v>0.247</v>
      </c>
      <c r="M161" s="137" t="s">
        <v>149</v>
      </c>
      <c r="N161" s="240">
        <v>2.21</v>
      </c>
    </row>
    <row r="162" spans="1:14" x14ac:dyDescent="0.25">
      <c r="A162" s="246"/>
      <c r="B162" s="246"/>
      <c r="D162" s="137" t="s">
        <v>79</v>
      </c>
      <c r="E162" s="240">
        <v>0.52600000000000002</v>
      </c>
      <c r="I162" s="137" t="s">
        <v>149</v>
      </c>
      <c r="J162" s="240">
        <v>0.437</v>
      </c>
      <c r="M162" s="137" t="s">
        <v>95</v>
      </c>
      <c r="N162" s="240">
        <v>2.21</v>
      </c>
    </row>
    <row r="163" spans="1:14" x14ac:dyDescent="0.25">
      <c r="A163" s="246"/>
      <c r="B163" s="246"/>
      <c r="D163" s="137" t="s">
        <v>83</v>
      </c>
      <c r="E163" s="240">
        <v>0.58599999999999997</v>
      </c>
      <c r="I163" s="137" t="s">
        <v>95</v>
      </c>
      <c r="J163" s="240">
        <v>0.81499999999999995</v>
      </c>
      <c r="M163" s="137" t="s">
        <v>150</v>
      </c>
      <c r="N163" s="240">
        <v>4.12</v>
      </c>
    </row>
    <row r="164" spans="1:14" x14ac:dyDescent="0.25">
      <c r="A164" s="246"/>
      <c r="B164" s="246"/>
      <c r="D164" s="137" t="s">
        <v>150</v>
      </c>
      <c r="E164" s="240">
        <v>0.67600000000000005</v>
      </c>
      <c r="I164" s="137" t="s">
        <v>83</v>
      </c>
      <c r="J164" s="240">
        <v>0.995</v>
      </c>
      <c r="M164" s="137" t="s">
        <v>79</v>
      </c>
      <c r="N164" s="240">
        <v>4.3600000000000003</v>
      </c>
    </row>
    <row r="165" spans="1:14" x14ac:dyDescent="0.25">
      <c r="A165" s="246"/>
      <c r="B165" s="246"/>
      <c r="D165" s="137" t="s">
        <v>91</v>
      </c>
      <c r="E165" s="240">
        <v>0.77600000000000002</v>
      </c>
      <c r="I165" s="137" t="s">
        <v>79</v>
      </c>
      <c r="J165" s="240">
        <v>1.0629999999999999</v>
      </c>
      <c r="M165" s="137" t="s">
        <v>83</v>
      </c>
      <c r="N165" s="240">
        <v>5.23</v>
      </c>
    </row>
    <row r="166" spans="1:14" x14ac:dyDescent="0.25">
      <c r="A166" s="246"/>
      <c r="B166" s="246"/>
      <c r="D166" s="137" t="s">
        <v>101</v>
      </c>
      <c r="E166" s="240">
        <v>1.137</v>
      </c>
      <c r="I166" s="137" t="s">
        <v>91</v>
      </c>
      <c r="J166" s="240">
        <v>1.6910000000000001</v>
      </c>
      <c r="M166" s="137" t="s">
        <v>91</v>
      </c>
      <c r="N166" s="240">
        <v>7</v>
      </c>
    </row>
    <row r="167" spans="1:14" x14ac:dyDescent="0.25">
      <c r="A167" s="246"/>
      <c r="B167" s="246"/>
      <c r="D167" s="137" t="s">
        <v>102</v>
      </c>
      <c r="E167" s="240">
        <v>1.581</v>
      </c>
      <c r="I167" s="137" t="s">
        <v>101</v>
      </c>
      <c r="J167" s="240">
        <v>2.0150000000000001</v>
      </c>
      <c r="M167" s="137" t="s">
        <v>101</v>
      </c>
      <c r="N167" s="240">
        <v>8</v>
      </c>
    </row>
    <row r="168" spans="1:14" x14ac:dyDescent="0.25">
      <c r="A168" s="246"/>
      <c r="B168" s="246"/>
      <c r="D168" s="141" t="s">
        <v>122</v>
      </c>
      <c r="E168" s="241">
        <v>2.0089999999999999</v>
      </c>
      <c r="I168" s="137" t="s">
        <v>102</v>
      </c>
      <c r="J168" s="240">
        <v>2.601</v>
      </c>
      <c r="M168" s="137" t="s">
        <v>102</v>
      </c>
      <c r="N168" s="240">
        <v>9</v>
      </c>
    </row>
    <row r="169" spans="1:14" x14ac:dyDescent="0.25">
      <c r="A169" s="246"/>
      <c r="B169" s="246"/>
      <c r="I169" s="174" t="s">
        <v>122</v>
      </c>
      <c r="J169" s="141">
        <v>3.5659999999999998</v>
      </c>
      <c r="M169" s="174" t="s">
        <v>122</v>
      </c>
      <c r="N169" s="141">
        <v>10</v>
      </c>
    </row>
    <row r="170" spans="1:14" x14ac:dyDescent="0.25">
      <c r="A170" s="246"/>
      <c r="B170" s="246"/>
    </row>
    <row r="171" spans="1:14" x14ac:dyDescent="0.25">
      <c r="A171" s="246"/>
      <c r="B171" s="246"/>
    </row>
    <row r="172" spans="1:14" x14ac:dyDescent="0.25">
      <c r="A172" s="246"/>
      <c r="B172" s="246"/>
    </row>
    <row r="173" spans="1:14" x14ac:dyDescent="0.25">
      <c r="A173" s="247" t="s">
        <v>188</v>
      </c>
      <c r="B173" s="247"/>
    </row>
    <row r="174" spans="1:14" x14ac:dyDescent="0.25">
      <c r="A174" s="246" t="s">
        <v>151</v>
      </c>
      <c r="B174" s="246"/>
      <c r="C174" s="246"/>
      <c r="D174" s="246"/>
      <c r="E174" s="246"/>
      <c r="F174" s="246"/>
      <c r="G174" s="246"/>
      <c r="H174" s="246"/>
      <c r="I174" s="246" t="s">
        <v>152</v>
      </c>
      <c r="J174" s="246"/>
      <c r="K174" s="246"/>
      <c r="L174" s="246"/>
      <c r="M174" s="246" t="s">
        <v>153</v>
      </c>
      <c r="N174" s="246"/>
    </row>
    <row r="175" spans="1:14" x14ac:dyDescent="0.25">
      <c r="A175" s="246" t="s">
        <v>167</v>
      </c>
      <c r="B175" s="246"/>
      <c r="C175" s="246"/>
      <c r="D175" s="244" t="s">
        <v>155</v>
      </c>
      <c r="E175" s="243" t="s">
        <v>156</v>
      </c>
      <c r="F175" s="246"/>
      <c r="G175" s="246"/>
      <c r="H175" s="246"/>
      <c r="I175" s="244" t="s">
        <v>163</v>
      </c>
      <c r="J175" s="243" t="s">
        <v>157</v>
      </c>
      <c r="K175" s="246"/>
      <c r="L175" s="246"/>
      <c r="M175" s="244" t="s">
        <v>155</v>
      </c>
      <c r="N175" s="243" t="s">
        <v>158</v>
      </c>
    </row>
    <row r="176" spans="1:14" x14ac:dyDescent="0.25">
      <c r="D176" s="137" t="s">
        <v>189</v>
      </c>
      <c r="E176" s="240">
        <v>7.4999999999999997E-2</v>
      </c>
      <c r="I176" s="137" t="s">
        <v>95</v>
      </c>
      <c r="J176" s="240">
        <v>0.33600000000000002</v>
      </c>
      <c r="M176" s="137" t="s">
        <v>150</v>
      </c>
      <c r="N176" s="240">
        <v>1.57</v>
      </c>
    </row>
    <row r="177" spans="1:14" x14ac:dyDescent="0.25">
      <c r="D177" s="137" t="s">
        <v>122</v>
      </c>
      <c r="E177" s="240">
        <v>0.29799999999999999</v>
      </c>
      <c r="I177" s="137" t="s">
        <v>150</v>
      </c>
      <c r="J177" s="240">
        <v>0.89100000000000001</v>
      </c>
      <c r="M177" s="137" t="s">
        <v>95</v>
      </c>
      <c r="N177" s="240">
        <v>1.97</v>
      </c>
    </row>
    <row r="178" spans="1:14" x14ac:dyDescent="0.25">
      <c r="D178" s="137" t="s">
        <v>102</v>
      </c>
      <c r="E178" s="240">
        <v>0.35899999999999999</v>
      </c>
      <c r="I178" s="137" t="s">
        <v>121</v>
      </c>
      <c r="J178" s="240">
        <v>0.97</v>
      </c>
      <c r="M178" s="137" t="s">
        <v>121</v>
      </c>
      <c r="N178" s="240">
        <v>2.21</v>
      </c>
    </row>
    <row r="179" spans="1:14" x14ac:dyDescent="0.25">
      <c r="D179" s="137" t="s">
        <v>95</v>
      </c>
      <c r="E179" s="240">
        <v>0.57199999999999995</v>
      </c>
      <c r="I179" s="137" t="s">
        <v>91</v>
      </c>
      <c r="J179" s="240">
        <v>1.27</v>
      </c>
      <c r="M179" s="137" t="s">
        <v>91</v>
      </c>
      <c r="N179" s="240">
        <v>4.12</v>
      </c>
    </row>
    <row r="180" spans="1:14" x14ac:dyDescent="0.25">
      <c r="D180" s="137" t="s">
        <v>91</v>
      </c>
      <c r="E180" s="240">
        <v>0.77700000000000002</v>
      </c>
      <c r="I180" s="137" t="s">
        <v>102</v>
      </c>
      <c r="J180" s="240">
        <v>1.304</v>
      </c>
      <c r="M180" s="137" t="s">
        <v>122</v>
      </c>
      <c r="N180" s="240">
        <v>4.5599999999999996</v>
      </c>
    </row>
    <row r="181" spans="1:14" x14ac:dyDescent="0.25">
      <c r="D181" s="137" t="s">
        <v>83</v>
      </c>
      <c r="E181" s="240">
        <v>1.034</v>
      </c>
      <c r="I181" s="137" t="s">
        <v>122</v>
      </c>
      <c r="J181" s="240">
        <v>1.4690000000000001</v>
      </c>
      <c r="M181" s="137" t="s">
        <v>102</v>
      </c>
      <c r="N181" s="240">
        <v>4.7300000000000004</v>
      </c>
    </row>
    <row r="182" spans="1:14" x14ac:dyDescent="0.25">
      <c r="D182" s="137" t="s">
        <v>79</v>
      </c>
      <c r="E182" s="240">
        <v>1.6439999999999999</v>
      </c>
      <c r="I182" s="137" t="s">
        <v>83</v>
      </c>
      <c r="J182" s="240">
        <v>2.3980000000000001</v>
      </c>
      <c r="M182" s="137" t="s">
        <v>83</v>
      </c>
      <c r="N182" s="240">
        <v>7</v>
      </c>
    </row>
    <row r="183" spans="1:14" x14ac:dyDescent="0.25">
      <c r="D183" s="137" t="s">
        <v>101</v>
      </c>
      <c r="E183" s="240">
        <v>2.1019999999999999</v>
      </c>
      <c r="I183" s="137" t="s">
        <v>79</v>
      </c>
      <c r="J183" s="240">
        <v>2.552</v>
      </c>
      <c r="M183" s="137" t="s">
        <v>79</v>
      </c>
      <c r="N183" s="240">
        <v>8.24</v>
      </c>
    </row>
    <row r="184" spans="1:14" x14ac:dyDescent="0.25">
      <c r="D184" s="141" t="s">
        <v>149</v>
      </c>
      <c r="E184" s="241">
        <v>2.6059999999999999</v>
      </c>
      <c r="I184" s="137" t="s">
        <v>101</v>
      </c>
      <c r="J184" s="240">
        <v>3.01</v>
      </c>
      <c r="M184" s="137" t="s">
        <v>101</v>
      </c>
      <c r="N184" s="240">
        <v>8.74</v>
      </c>
    </row>
    <row r="185" spans="1:14" x14ac:dyDescent="0.25">
      <c r="I185" s="174" t="s">
        <v>149</v>
      </c>
      <c r="J185" s="141">
        <v>4.4320000000000004</v>
      </c>
      <c r="M185" s="174" t="s">
        <v>149</v>
      </c>
      <c r="N185" s="141">
        <v>10</v>
      </c>
    </row>
    <row r="188" spans="1:14" s="238" customFormat="1" x14ac:dyDescent="0.25"/>
    <row r="190" spans="1:14" x14ac:dyDescent="0.25">
      <c r="A190" s="239" t="s">
        <v>166</v>
      </c>
      <c r="B190" s="239"/>
    </row>
    <row r="191" spans="1:14" x14ac:dyDescent="0.25">
      <c r="A191" s="246" t="s">
        <v>151</v>
      </c>
      <c r="B191" s="246"/>
      <c r="C191" s="246"/>
      <c r="D191" s="246"/>
      <c r="E191" s="246"/>
      <c r="F191" s="246"/>
      <c r="G191" s="246"/>
      <c r="H191" s="246"/>
      <c r="I191" s="246" t="s">
        <v>152</v>
      </c>
      <c r="J191" s="246"/>
      <c r="K191" s="246"/>
      <c r="L191" s="246"/>
      <c r="M191" s="246" t="s">
        <v>153</v>
      </c>
      <c r="N191" s="246"/>
    </row>
    <row r="192" spans="1:14" x14ac:dyDescent="0.25">
      <c r="A192" s="246" t="s">
        <v>167</v>
      </c>
      <c r="B192" s="246"/>
      <c r="C192" s="246"/>
      <c r="D192" s="244" t="s">
        <v>155</v>
      </c>
      <c r="E192" s="243" t="s">
        <v>156</v>
      </c>
      <c r="F192" s="246"/>
      <c r="G192" s="246"/>
      <c r="H192" s="246"/>
      <c r="I192" s="244" t="s">
        <v>163</v>
      </c>
      <c r="J192" s="243" t="s">
        <v>157</v>
      </c>
      <c r="K192" s="246"/>
      <c r="L192" s="246"/>
      <c r="M192" s="244" t="s">
        <v>155</v>
      </c>
      <c r="N192" s="243" t="s">
        <v>158</v>
      </c>
    </row>
    <row r="193" spans="1:14" x14ac:dyDescent="0.25">
      <c r="D193" s="137" t="s">
        <v>168</v>
      </c>
      <c r="E193" s="240">
        <v>0.188</v>
      </c>
      <c r="I193" s="137" t="s">
        <v>79</v>
      </c>
      <c r="J193" s="240">
        <v>0.59799999999999998</v>
      </c>
      <c r="M193" s="137" t="s">
        <v>83</v>
      </c>
      <c r="N193" s="240">
        <v>2.4500000000000002</v>
      </c>
    </row>
    <row r="194" spans="1:14" x14ac:dyDescent="0.25">
      <c r="D194" s="137" t="s">
        <v>83</v>
      </c>
      <c r="E194" s="240">
        <v>0.48399999999999999</v>
      </c>
      <c r="I194" s="137" t="s">
        <v>83</v>
      </c>
      <c r="J194" s="240">
        <v>0.60299999999999998</v>
      </c>
      <c r="M194" s="137" t="s">
        <v>95</v>
      </c>
      <c r="N194" s="240">
        <v>2.89</v>
      </c>
    </row>
    <row r="195" spans="1:14" x14ac:dyDescent="0.25">
      <c r="D195" s="137" t="s">
        <v>91</v>
      </c>
      <c r="E195" s="240">
        <v>0.57799999999999996</v>
      </c>
      <c r="I195" s="137" t="s">
        <v>122</v>
      </c>
      <c r="J195" s="240">
        <v>0.82599999999999996</v>
      </c>
      <c r="M195" s="137" t="s">
        <v>79</v>
      </c>
      <c r="N195" s="240">
        <v>2.94</v>
      </c>
    </row>
    <row r="196" spans="1:14" x14ac:dyDescent="0.25">
      <c r="D196" s="137" t="s">
        <v>79</v>
      </c>
      <c r="E196" s="240">
        <v>0.86299999999999999</v>
      </c>
      <c r="I196" s="137" t="s">
        <v>102</v>
      </c>
      <c r="J196" s="240">
        <v>0.91300000000000003</v>
      </c>
      <c r="M196" s="137" t="s">
        <v>150</v>
      </c>
      <c r="N196" s="240">
        <v>3.87</v>
      </c>
    </row>
    <row r="197" spans="1:14" x14ac:dyDescent="0.25">
      <c r="D197" s="137" t="s">
        <v>122</v>
      </c>
      <c r="E197" s="240">
        <v>1.284</v>
      </c>
      <c r="I197" s="137" t="s">
        <v>95</v>
      </c>
      <c r="J197" s="240">
        <v>1.2669999999999999</v>
      </c>
      <c r="M197" s="137" t="s">
        <v>122</v>
      </c>
      <c r="N197" s="240">
        <v>4.3600000000000003</v>
      </c>
    </row>
    <row r="198" spans="1:14" x14ac:dyDescent="0.25">
      <c r="D198" s="137" t="s">
        <v>102</v>
      </c>
      <c r="E198" s="240">
        <v>1.456</v>
      </c>
      <c r="I198" s="137" t="s">
        <v>149</v>
      </c>
      <c r="J198" s="240">
        <v>1.446</v>
      </c>
      <c r="M198" s="137" t="s">
        <v>102</v>
      </c>
      <c r="N198" s="240">
        <v>4.92</v>
      </c>
    </row>
    <row r="199" spans="1:14" x14ac:dyDescent="0.25">
      <c r="D199" s="137" t="s">
        <v>149</v>
      </c>
      <c r="E199" s="240">
        <v>1.589</v>
      </c>
      <c r="I199" s="137" t="s">
        <v>150</v>
      </c>
      <c r="J199" s="240">
        <v>1.4630000000000001</v>
      </c>
      <c r="M199" s="137" t="s">
        <v>149</v>
      </c>
      <c r="N199" s="240">
        <v>5.26</v>
      </c>
    </row>
    <row r="200" spans="1:14" x14ac:dyDescent="0.25">
      <c r="D200" s="137" t="s">
        <v>101</v>
      </c>
      <c r="E200" s="240">
        <v>1.774</v>
      </c>
      <c r="I200" s="137" t="s">
        <v>91</v>
      </c>
      <c r="J200" s="240">
        <v>1.5880000000000001</v>
      </c>
      <c r="M200" s="137" t="s">
        <v>121</v>
      </c>
      <c r="N200" s="240">
        <v>5.62</v>
      </c>
    </row>
    <row r="201" spans="1:14" x14ac:dyDescent="0.25">
      <c r="D201" s="141" t="s">
        <v>121</v>
      </c>
      <c r="E201" s="241">
        <v>2.4300000000000002</v>
      </c>
      <c r="I201" s="137" t="s">
        <v>101</v>
      </c>
      <c r="J201" s="240">
        <v>2.8140000000000001</v>
      </c>
      <c r="M201" s="137" t="s">
        <v>91</v>
      </c>
      <c r="N201" s="240">
        <v>6.45</v>
      </c>
    </row>
    <row r="202" spans="1:14" x14ac:dyDescent="0.25">
      <c r="I202" s="174" t="s">
        <v>121</v>
      </c>
      <c r="J202" s="141">
        <v>5.0140000000000002</v>
      </c>
      <c r="M202" s="174" t="s">
        <v>101</v>
      </c>
      <c r="N202" s="141">
        <v>9.24</v>
      </c>
    </row>
    <row r="205" spans="1:14" x14ac:dyDescent="0.25">
      <c r="A205" s="248" t="s">
        <v>171</v>
      </c>
      <c r="B205" s="248"/>
    </row>
    <row r="206" spans="1:14" x14ac:dyDescent="0.25">
      <c r="A206" s="246" t="s">
        <v>151</v>
      </c>
      <c r="B206" s="246"/>
      <c r="C206" s="246"/>
      <c r="D206" s="246"/>
      <c r="E206" s="246"/>
      <c r="F206" s="246"/>
      <c r="G206" s="246"/>
      <c r="H206" s="246"/>
      <c r="I206" s="246" t="s">
        <v>152</v>
      </c>
      <c r="J206" s="246"/>
      <c r="K206" s="246"/>
      <c r="L206" s="246"/>
      <c r="M206" s="246" t="s">
        <v>153</v>
      </c>
      <c r="N206" s="246"/>
    </row>
    <row r="207" spans="1:14" x14ac:dyDescent="0.25">
      <c r="A207" s="246" t="s">
        <v>167</v>
      </c>
      <c r="B207" s="246"/>
      <c r="C207" s="246"/>
      <c r="D207" s="244" t="s">
        <v>155</v>
      </c>
      <c r="E207" s="243" t="s">
        <v>156</v>
      </c>
      <c r="F207" s="246"/>
      <c r="G207" s="246"/>
      <c r="H207" s="246"/>
      <c r="I207" s="244" t="s">
        <v>163</v>
      </c>
      <c r="J207" s="243" t="s">
        <v>157</v>
      </c>
      <c r="K207" s="246"/>
      <c r="L207" s="246"/>
      <c r="M207" s="244" t="s">
        <v>155</v>
      </c>
      <c r="N207" s="243" t="s">
        <v>158</v>
      </c>
    </row>
    <row r="208" spans="1:14" x14ac:dyDescent="0.25">
      <c r="D208" s="137" t="s">
        <v>169</v>
      </c>
      <c r="E208" s="240">
        <v>0.223</v>
      </c>
      <c r="I208" s="137" t="s">
        <v>102</v>
      </c>
      <c r="J208" s="240">
        <v>0.16</v>
      </c>
      <c r="M208" s="137" t="s">
        <v>102</v>
      </c>
      <c r="N208" s="240">
        <v>2.2400000000000002</v>
      </c>
    </row>
    <row r="209" spans="1:14" x14ac:dyDescent="0.25">
      <c r="D209" s="137" t="s">
        <v>91</v>
      </c>
      <c r="E209" s="240">
        <v>0.36699999999999999</v>
      </c>
      <c r="I209" s="137" t="s">
        <v>79</v>
      </c>
      <c r="J209" s="240">
        <v>0.36099999999999999</v>
      </c>
      <c r="M209" s="137" t="s">
        <v>101</v>
      </c>
      <c r="N209" s="240">
        <v>3.03</v>
      </c>
    </row>
    <row r="210" spans="1:14" x14ac:dyDescent="0.25">
      <c r="D210" s="137" t="s">
        <v>79</v>
      </c>
      <c r="E210" s="240">
        <v>0.97099999999999997</v>
      </c>
      <c r="I210" s="137" t="s">
        <v>101</v>
      </c>
      <c r="J210" s="240">
        <v>0.72099999999999997</v>
      </c>
      <c r="M210" s="137" t="s">
        <v>79</v>
      </c>
      <c r="N210" s="240">
        <v>3.13</v>
      </c>
    </row>
    <row r="211" spans="1:14" x14ac:dyDescent="0.25">
      <c r="D211" s="137" t="s">
        <v>102</v>
      </c>
      <c r="E211" s="240">
        <v>1.175</v>
      </c>
      <c r="I211" s="137" t="s">
        <v>150</v>
      </c>
      <c r="J211" s="240">
        <v>0.72499999999999998</v>
      </c>
      <c r="M211" s="137" t="s">
        <v>95</v>
      </c>
      <c r="N211" s="240">
        <v>3.76</v>
      </c>
    </row>
    <row r="212" spans="1:14" x14ac:dyDescent="0.25">
      <c r="D212" s="137" t="s">
        <v>150</v>
      </c>
      <c r="E212" s="240">
        <v>1.2669999999999999</v>
      </c>
      <c r="I212" s="137" t="s">
        <v>95</v>
      </c>
      <c r="J212" s="240">
        <v>2.3079999999999998</v>
      </c>
      <c r="M212" s="137" t="s">
        <v>83</v>
      </c>
      <c r="N212" s="240">
        <v>4.24</v>
      </c>
    </row>
    <row r="213" spans="1:14" x14ac:dyDescent="0.25">
      <c r="D213" s="137" t="s">
        <v>101</v>
      </c>
      <c r="E213" s="240">
        <v>1.573</v>
      </c>
      <c r="I213" s="137" t="s">
        <v>83</v>
      </c>
      <c r="J213" s="240">
        <v>2.4710000000000001</v>
      </c>
      <c r="M213" s="137" t="s">
        <v>150</v>
      </c>
      <c r="N213" s="240">
        <v>4.74</v>
      </c>
    </row>
    <row r="214" spans="1:14" x14ac:dyDescent="0.25">
      <c r="D214" s="137" t="s">
        <v>122</v>
      </c>
      <c r="E214" s="240">
        <v>2.0550000000000002</v>
      </c>
      <c r="I214" s="137" t="s">
        <v>91</v>
      </c>
      <c r="J214" s="240">
        <v>2.4929999999999999</v>
      </c>
      <c r="M214" s="137" t="s">
        <v>149</v>
      </c>
      <c r="N214" s="240">
        <v>6.18</v>
      </c>
    </row>
    <row r="215" spans="1:14" x14ac:dyDescent="0.25">
      <c r="D215" s="137" t="s">
        <v>149</v>
      </c>
      <c r="E215" s="240">
        <v>2.302</v>
      </c>
      <c r="I215" s="137" t="s">
        <v>122</v>
      </c>
      <c r="J215" s="240">
        <v>2.6179999999999999</v>
      </c>
      <c r="M215" s="137" t="s">
        <v>91</v>
      </c>
      <c r="N215" s="240">
        <v>6.19</v>
      </c>
    </row>
    <row r="216" spans="1:14" x14ac:dyDescent="0.25">
      <c r="D216" s="141" t="s">
        <v>121</v>
      </c>
      <c r="E216" s="241">
        <v>2.44</v>
      </c>
      <c r="I216" s="137" t="s">
        <v>149</v>
      </c>
      <c r="J216" s="240">
        <v>2.698</v>
      </c>
      <c r="M216" s="137" t="s">
        <v>122</v>
      </c>
      <c r="N216" s="240">
        <v>6.73</v>
      </c>
    </row>
    <row r="217" spans="1:14" x14ac:dyDescent="0.25">
      <c r="I217" s="174" t="s">
        <v>121</v>
      </c>
      <c r="J217" s="141">
        <v>2.8109999999999999</v>
      </c>
      <c r="M217" s="174" t="s">
        <v>121</v>
      </c>
      <c r="N217" s="141">
        <v>7.4</v>
      </c>
    </row>
    <row r="219" spans="1:14" x14ac:dyDescent="0.25">
      <c r="A219" s="247" t="s">
        <v>174</v>
      </c>
      <c r="B219" s="247"/>
    </row>
    <row r="220" spans="1:14" x14ac:dyDescent="0.25">
      <c r="A220" s="246" t="s">
        <v>151</v>
      </c>
      <c r="B220" s="246"/>
      <c r="C220" s="246"/>
      <c r="D220" s="246"/>
      <c r="E220" s="246"/>
      <c r="F220" s="246"/>
      <c r="G220" s="246"/>
      <c r="H220" s="246"/>
      <c r="I220" s="246" t="s">
        <v>152</v>
      </c>
      <c r="J220" s="246"/>
      <c r="K220" s="246"/>
      <c r="L220" s="246"/>
      <c r="M220" s="246" t="s">
        <v>153</v>
      </c>
      <c r="N220" s="246"/>
    </row>
    <row r="221" spans="1:14" x14ac:dyDescent="0.25">
      <c r="A221" s="246" t="s">
        <v>167</v>
      </c>
      <c r="B221" s="246"/>
      <c r="C221" s="246"/>
      <c r="D221" s="244" t="s">
        <v>155</v>
      </c>
      <c r="E221" s="243" t="s">
        <v>156</v>
      </c>
      <c r="F221" s="246"/>
      <c r="G221" s="246"/>
      <c r="H221" s="246"/>
      <c r="I221" s="244" t="s">
        <v>163</v>
      </c>
      <c r="J221" s="243" t="s">
        <v>157</v>
      </c>
      <c r="K221" s="246"/>
      <c r="L221" s="246"/>
      <c r="M221" s="244" t="s">
        <v>155</v>
      </c>
      <c r="N221" s="243" t="s">
        <v>158</v>
      </c>
    </row>
    <row r="222" spans="1:14" x14ac:dyDescent="0.25">
      <c r="D222" s="137" t="s">
        <v>176</v>
      </c>
      <c r="E222" s="240">
        <v>0.23599999999999999</v>
      </c>
      <c r="I222" s="137" t="s">
        <v>91</v>
      </c>
      <c r="J222" s="240">
        <v>0.11799999999999999</v>
      </c>
      <c r="M222" s="137" t="s">
        <v>91</v>
      </c>
      <c r="N222" s="240">
        <v>1.5</v>
      </c>
    </row>
    <row r="223" spans="1:14" x14ac:dyDescent="0.25">
      <c r="D223" s="137" t="s">
        <v>122</v>
      </c>
      <c r="E223" s="240">
        <v>0.443</v>
      </c>
      <c r="I223" s="137" t="s">
        <v>150</v>
      </c>
      <c r="J223" s="240">
        <v>0.11799999999999999</v>
      </c>
      <c r="M223" s="137" t="s">
        <v>150</v>
      </c>
      <c r="N223" s="240">
        <v>2.21</v>
      </c>
    </row>
    <row r="224" spans="1:14" x14ac:dyDescent="0.25">
      <c r="D224" s="137" t="s">
        <v>121</v>
      </c>
      <c r="E224" s="240">
        <v>0.48899999999999999</v>
      </c>
      <c r="I224" s="137" t="s">
        <v>122</v>
      </c>
      <c r="J224" s="240">
        <v>0.13900000000000001</v>
      </c>
      <c r="M224" s="137" t="s">
        <v>122</v>
      </c>
      <c r="N224" s="240">
        <v>2.71</v>
      </c>
    </row>
    <row r="225" spans="1:14" x14ac:dyDescent="0.25">
      <c r="D225" s="137" t="s">
        <v>102</v>
      </c>
      <c r="E225" s="240">
        <v>0.58199999999999996</v>
      </c>
      <c r="I225" s="137" t="s">
        <v>121</v>
      </c>
      <c r="J225" s="240">
        <v>0.20699999999999999</v>
      </c>
      <c r="M225" s="137" t="s">
        <v>102</v>
      </c>
      <c r="N225" s="240">
        <v>3.34</v>
      </c>
    </row>
    <row r="226" spans="1:14" x14ac:dyDescent="0.25">
      <c r="D226" s="137" t="s">
        <v>149</v>
      </c>
      <c r="E226" s="240">
        <v>0.69899999999999995</v>
      </c>
      <c r="I226" s="137" t="s">
        <v>102</v>
      </c>
      <c r="J226" s="240">
        <v>0.433</v>
      </c>
      <c r="M226" s="137" t="s">
        <v>121</v>
      </c>
      <c r="N226" s="240">
        <v>4</v>
      </c>
    </row>
    <row r="227" spans="1:14" x14ac:dyDescent="0.25">
      <c r="D227" s="137" t="s">
        <v>79</v>
      </c>
      <c r="E227" s="240">
        <v>0.81399999999999995</v>
      </c>
      <c r="I227" s="137" t="s">
        <v>149</v>
      </c>
      <c r="J227" s="240">
        <v>0.69399999999999995</v>
      </c>
      <c r="M227" s="137" t="s">
        <v>149</v>
      </c>
      <c r="N227" s="240">
        <v>5.05</v>
      </c>
    </row>
    <row r="228" spans="1:14" x14ac:dyDescent="0.25">
      <c r="D228" s="137" t="s">
        <v>95</v>
      </c>
      <c r="E228" s="240">
        <v>0.92500000000000004</v>
      </c>
      <c r="I228" s="137" t="s">
        <v>79</v>
      </c>
      <c r="J228" s="240">
        <v>0.91900000000000004</v>
      </c>
      <c r="M228" s="137" t="s">
        <v>79</v>
      </c>
      <c r="N228" s="240">
        <v>7</v>
      </c>
    </row>
    <row r="229" spans="1:14" x14ac:dyDescent="0.25">
      <c r="D229" s="137" t="s">
        <v>83</v>
      </c>
      <c r="E229" s="240">
        <v>1.198</v>
      </c>
      <c r="I229" s="137" t="s">
        <v>95</v>
      </c>
      <c r="J229" s="240">
        <v>1.141</v>
      </c>
      <c r="M229" s="137" t="s">
        <v>95</v>
      </c>
      <c r="N229" s="240">
        <v>8</v>
      </c>
    </row>
    <row r="230" spans="1:14" x14ac:dyDescent="0.25">
      <c r="D230" s="141" t="s">
        <v>101</v>
      </c>
      <c r="E230" s="241">
        <v>1.7470000000000001</v>
      </c>
      <c r="I230" s="137" t="s">
        <v>83</v>
      </c>
      <c r="J230" s="240">
        <v>2.4500000000000002</v>
      </c>
      <c r="M230" s="137" t="s">
        <v>83</v>
      </c>
      <c r="N230" s="240">
        <v>9</v>
      </c>
    </row>
    <row r="231" spans="1:14" x14ac:dyDescent="0.25">
      <c r="I231" s="174" t="s">
        <v>101</v>
      </c>
      <c r="J231" s="141">
        <v>3.9020000000000001</v>
      </c>
      <c r="M231" s="174" t="s">
        <v>101</v>
      </c>
      <c r="N231" s="141">
        <v>10</v>
      </c>
    </row>
    <row r="234" spans="1:14" x14ac:dyDescent="0.25">
      <c r="A234" s="239" t="s">
        <v>178</v>
      </c>
      <c r="B234" s="239"/>
    </row>
    <row r="235" spans="1:14" x14ac:dyDescent="0.25">
      <c r="A235" s="246" t="s">
        <v>151</v>
      </c>
      <c r="B235" s="246"/>
      <c r="C235" s="246"/>
      <c r="D235" s="246"/>
      <c r="E235" s="246"/>
      <c r="F235" s="246"/>
      <c r="G235" s="246"/>
      <c r="H235" s="246"/>
      <c r="I235" s="246" t="s">
        <v>152</v>
      </c>
      <c r="J235" s="246"/>
      <c r="K235" s="246"/>
      <c r="L235" s="246"/>
      <c r="M235" s="246" t="s">
        <v>153</v>
      </c>
      <c r="N235" s="246"/>
    </row>
    <row r="236" spans="1:14" x14ac:dyDescent="0.25">
      <c r="A236" s="246" t="s">
        <v>167</v>
      </c>
      <c r="B236" s="246"/>
      <c r="C236" s="246"/>
      <c r="D236" s="244" t="s">
        <v>155</v>
      </c>
      <c r="E236" s="243" t="s">
        <v>156</v>
      </c>
      <c r="F236" s="246"/>
      <c r="G236" s="246"/>
      <c r="H236" s="246"/>
      <c r="I236" s="244" t="s">
        <v>163</v>
      </c>
      <c r="J236" s="243" t="s">
        <v>157</v>
      </c>
      <c r="K236" s="246"/>
      <c r="L236" s="246"/>
      <c r="M236" s="244" t="s">
        <v>155</v>
      </c>
      <c r="N236" s="243" t="s">
        <v>158</v>
      </c>
    </row>
    <row r="237" spans="1:14" x14ac:dyDescent="0.25">
      <c r="D237" s="137" t="s">
        <v>179</v>
      </c>
      <c r="E237" s="240">
        <v>0.442</v>
      </c>
      <c r="I237" s="137" t="s">
        <v>101</v>
      </c>
      <c r="J237" s="240">
        <v>0.185</v>
      </c>
      <c r="M237" s="137" t="s">
        <v>79</v>
      </c>
      <c r="N237" s="240">
        <v>2.78</v>
      </c>
    </row>
    <row r="238" spans="1:14" x14ac:dyDescent="0.25">
      <c r="D238" s="137" t="s">
        <v>95</v>
      </c>
      <c r="E238" s="240">
        <v>0.78100000000000003</v>
      </c>
      <c r="I238" s="137" t="s">
        <v>79</v>
      </c>
      <c r="J238" s="240">
        <v>0.30299999999999999</v>
      </c>
      <c r="M238" s="137" t="s">
        <v>101</v>
      </c>
      <c r="N238" s="240">
        <v>3.03</v>
      </c>
    </row>
    <row r="239" spans="1:14" x14ac:dyDescent="0.25">
      <c r="D239" s="137" t="s">
        <v>91</v>
      </c>
      <c r="E239" s="240">
        <v>0.94899999999999995</v>
      </c>
      <c r="I239" s="137" t="s">
        <v>102</v>
      </c>
      <c r="J239" s="240">
        <v>0.30299999999999999</v>
      </c>
      <c r="M239" s="137" t="s">
        <v>150</v>
      </c>
      <c r="N239" s="240">
        <v>3.25</v>
      </c>
    </row>
    <row r="240" spans="1:14" x14ac:dyDescent="0.25">
      <c r="D240" s="137" t="s">
        <v>79</v>
      </c>
      <c r="E240" s="240">
        <v>1.2330000000000001</v>
      </c>
      <c r="I240" s="137" t="s">
        <v>150</v>
      </c>
      <c r="J240" s="240">
        <v>1.282</v>
      </c>
      <c r="M240" s="137" t="s">
        <v>102</v>
      </c>
      <c r="N240" s="240">
        <v>3.66</v>
      </c>
    </row>
    <row r="241" spans="1:14" x14ac:dyDescent="0.25">
      <c r="D241" s="137" t="s">
        <v>102</v>
      </c>
      <c r="E241" s="240">
        <v>1.423</v>
      </c>
      <c r="I241" s="137" t="s">
        <v>83</v>
      </c>
      <c r="J241" s="240">
        <v>1.6970000000000001</v>
      </c>
      <c r="M241" s="137" t="s">
        <v>83</v>
      </c>
      <c r="N241" s="240">
        <v>3.76</v>
      </c>
    </row>
    <row r="242" spans="1:14" x14ac:dyDescent="0.25">
      <c r="D242" s="137" t="s">
        <v>101</v>
      </c>
      <c r="E242" s="240">
        <v>1.603</v>
      </c>
      <c r="I242" s="137" t="s">
        <v>122</v>
      </c>
      <c r="J242" s="240">
        <v>2.2610000000000001</v>
      </c>
      <c r="M242" s="137" t="s">
        <v>122</v>
      </c>
      <c r="N242" s="240">
        <v>4.9000000000000004</v>
      </c>
    </row>
    <row r="243" spans="1:14" x14ac:dyDescent="0.25">
      <c r="D243" s="137" t="s">
        <v>122</v>
      </c>
      <c r="E243" s="240">
        <v>2.004</v>
      </c>
      <c r="I243" s="137" t="s">
        <v>149</v>
      </c>
      <c r="J243" s="240">
        <v>2.4750000000000001</v>
      </c>
      <c r="M243" s="137" t="s">
        <v>121</v>
      </c>
      <c r="N243" s="240">
        <v>5.62</v>
      </c>
    </row>
    <row r="244" spans="1:14" x14ac:dyDescent="0.25">
      <c r="D244" s="137" t="s">
        <v>149</v>
      </c>
      <c r="E244" s="240">
        <v>2.2290000000000001</v>
      </c>
      <c r="I244" s="137" t="s">
        <v>95</v>
      </c>
      <c r="J244" s="240">
        <v>2.5920000000000001</v>
      </c>
      <c r="M244" s="137" t="s">
        <v>95</v>
      </c>
      <c r="N244" s="240">
        <v>6.24</v>
      </c>
    </row>
    <row r="245" spans="1:14" x14ac:dyDescent="0.25">
      <c r="D245" s="141" t="s">
        <v>121</v>
      </c>
      <c r="E245" s="241">
        <v>2.4900000000000002</v>
      </c>
      <c r="I245" s="137" t="s">
        <v>91</v>
      </c>
      <c r="J245" s="240">
        <v>2.8490000000000002</v>
      </c>
      <c r="M245" s="137" t="s">
        <v>149</v>
      </c>
      <c r="N245" s="240">
        <v>6.24</v>
      </c>
    </row>
    <row r="246" spans="1:14" x14ac:dyDescent="0.25">
      <c r="I246" s="174" t="s">
        <v>121</v>
      </c>
      <c r="J246" s="141">
        <v>3.444</v>
      </c>
      <c r="M246" s="174" t="s">
        <v>91</v>
      </c>
      <c r="N246" s="141">
        <v>7.54</v>
      </c>
    </row>
    <row r="248" spans="1:14" x14ac:dyDescent="0.25">
      <c r="A248" s="248" t="s">
        <v>190</v>
      </c>
      <c r="B248" s="248"/>
    </row>
    <row r="249" spans="1:14" x14ac:dyDescent="0.25">
      <c r="A249" s="246" t="s">
        <v>151</v>
      </c>
      <c r="B249" s="246"/>
      <c r="C249" s="246"/>
      <c r="D249" s="246"/>
      <c r="E249" s="246"/>
      <c r="F249" s="246"/>
      <c r="G249" s="246"/>
      <c r="H249" s="246"/>
      <c r="I249" s="246" t="s">
        <v>152</v>
      </c>
      <c r="J249" s="246"/>
      <c r="K249" s="246"/>
      <c r="L249" s="246"/>
      <c r="M249" s="246" t="s">
        <v>153</v>
      </c>
      <c r="N249" s="246"/>
    </row>
    <row r="250" spans="1:14" x14ac:dyDescent="0.25">
      <c r="A250" s="246" t="s">
        <v>167</v>
      </c>
      <c r="B250" s="246"/>
      <c r="C250" s="246"/>
      <c r="D250" s="244" t="s">
        <v>155</v>
      </c>
      <c r="E250" s="243" t="s">
        <v>156</v>
      </c>
      <c r="F250" s="246"/>
      <c r="G250" s="246"/>
      <c r="H250" s="246"/>
      <c r="I250" s="244" t="s">
        <v>163</v>
      </c>
      <c r="J250" s="243" t="s">
        <v>157</v>
      </c>
      <c r="K250" s="246"/>
      <c r="L250" s="246"/>
      <c r="M250" s="244" t="s">
        <v>155</v>
      </c>
      <c r="N250" s="243" t="s">
        <v>158</v>
      </c>
    </row>
    <row r="251" spans="1:14" x14ac:dyDescent="0.25">
      <c r="D251" s="137" t="s">
        <v>191</v>
      </c>
      <c r="E251" s="240">
        <v>0.02</v>
      </c>
      <c r="I251" s="137" t="s">
        <v>91</v>
      </c>
      <c r="J251" s="240">
        <v>0.20100000000000001</v>
      </c>
      <c r="M251" s="137" t="s">
        <v>121</v>
      </c>
      <c r="N251" s="240">
        <v>1.32</v>
      </c>
    </row>
    <row r="252" spans="1:14" x14ac:dyDescent="0.25">
      <c r="D252" s="137" t="s">
        <v>150</v>
      </c>
      <c r="E252" s="240">
        <v>0.248</v>
      </c>
      <c r="I252" s="137" t="s">
        <v>83</v>
      </c>
      <c r="J252" s="240">
        <v>0.20200000000000001</v>
      </c>
      <c r="M252" s="137" t="s">
        <v>95</v>
      </c>
      <c r="N252" s="240">
        <v>2</v>
      </c>
    </row>
    <row r="253" spans="1:14" x14ac:dyDescent="0.25">
      <c r="D253" s="137" t="s">
        <v>149</v>
      </c>
      <c r="E253" s="240">
        <v>0.32500000000000001</v>
      </c>
      <c r="I253" s="137" t="s">
        <v>121</v>
      </c>
      <c r="J253" s="240">
        <v>0.28399999999999997</v>
      </c>
      <c r="M253" s="137" t="s">
        <v>91</v>
      </c>
      <c r="N253" s="240">
        <v>3.08</v>
      </c>
    </row>
    <row r="254" spans="1:14" x14ac:dyDescent="0.25">
      <c r="D254" s="137" t="s">
        <v>122</v>
      </c>
      <c r="E254" s="240">
        <v>0.34699999999999998</v>
      </c>
      <c r="I254" s="137" t="s">
        <v>95</v>
      </c>
      <c r="J254" s="240">
        <v>0.316</v>
      </c>
      <c r="M254" s="137" t="s">
        <v>83</v>
      </c>
      <c r="N254" s="240">
        <v>4.28</v>
      </c>
    </row>
    <row r="255" spans="1:14" x14ac:dyDescent="0.25">
      <c r="D255" s="137" t="s">
        <v>91</v>
      </c>
      <c r="E255" s="240">
        <v>0.38300000000000001</v>
      </c>
      <c r="I255" s="137" t="s">
        <v>150</v>
      </c>
      <c r="J255" s="240">
        <v>0.61399999999999999</v>
      </c>
      <c r="M255" s="137" t="s">
        <v>150</v>
      </c>
      <c r="N255" s="240">
        <v>4.3600000000000003</v>
      </c>
    </row>
    <row r="256" spans="1:14" x14ac:dyDescent="0.25">
      <c r="D256" s="137" t="s">
        <v>83</v>
      </c>
      <c r="E256" s="240">
        <v>0.47399999999999998</v>
      </c>
      <c r="I256" s="137" t="s">
        <v>122</v>
      </c>
      <c r="J256" s="240">
        <v>0.61499999999999999</v>
      </c>
      <c r="M256" s="137" t="s">
        <v>122</v>
      </c>
      <c r="N256" s="240">
        <v>5.69</v>
      </c>
    </row>
    <row r="257" spans="1:14" x14ac:dyDescent="0.25">
      <c r="D257" s="137" t="s">
        <v>102</v>
      </c>
      <c r="E257" s="240">
        <v>0.63600000000000001</v>
      </c>
      <c r="I257" s="137" t="s">
        <v>149</v>
      </c>
      <c r="J257" s="240">
        <v>0.82299999999999995</v>
      </c>
      <c r="M257" s="137" t="s">
        <v>102</v>
      </c>
      <c r="N257" s="240">
        <v>6.26</v>
      </c>
    </row>
    <row r="258" spans="1:14" x14ac:dyDescent="0.25">
      <c r="D258" s="137" t="s">
        <v>79</v>
      </c>
      <c r="E258" s="240">
        <v>0.83</v>
      </c>
      <c r="I258" s="137" t="s">
        <v>102</v>
      </c>
      <c r="J258" s="240">
        <v>0.90700000000000003</v>
      </c>
      <c r="M258" s="137" t="s">
        <v>149</v>
      </c>
      <c r="N258" s="240">
        <v>6.29</v>
      </c>
    </row>
    <row r="259" spans="1:14" x14ac:dyDescent="0.25">
      <c r="D259" s="141" t="s">
        <v>101</v>
      </c>
      <c r="E259" s="241">
        <v>1.1020000000000001</v>
      </c>
      <c r="I259" s="137" t="s">
        <v>79</v>
      </c>
      <c r="J259" s="240">
        <v>1.339</v>
      </c>
      <c r="M259" s="137" t="s">
        <v>79</v>
      </c>
      <c r="N259" s="240">
        <v>9</v>
      </c>
    </row>
    <row r="260" spans="1:14" x14ac:dyDescent="0.25">
      <c r="I260" s="174" t="s">
        <v>101</v>
      </c>
      <c r="J260" s="141">
        <v>2.0950000000000002</v>
      </c>
      <c r="M260" s="174" t="s">
        <v>101</v>
      </c>
      <c r="N260" s="141">
        <v>10</v>
      </c>
    </row>
    <row r="263" spans="1:14" x14ac:dyDescent="0.25">
      <c r="A263" s="247" t="s">
        <v>192</v>
      </c>
      <c r="B263" s="247"/>
    </row>
    <row r="264" spans="1:14" x14ac:dyDescent="0.25">
      <c r="A264" s="246" t="s">
        <v>151</v>
      </c>
      <c r="B264" s="246"/>
      <c r="C264" s="246"/>
      <c r="D264" s="246"/>
      <c r="E264" s="246"/>
      <c r="F264" s="246"/>
      <c r="G264" s="246"/>
      <c r="H264" s="246"/>
      <c r="I264" s="246" t="s">
        <v>152</v>
      </c>
      <c r="J264" s="246"/>
      <c r="K264" s="246"/>
      <c r="L264" s="246"/>
      <c r="M264" s="246" t="s">
        <v>153</v>
      </c>
      <c r="N264" s="246"/>
    </row>
    <row r="265" spans="1:14" x14ac:dyDescent="0.25">
      <c r="A265" s="246" t="s">
        <v>167</v>
      </c>
      <c r="B265" s="246"/>
      <c r="C265" s="246"/>
      <c r="D265" s="244" t="s">
        <v>155</v>
      </c>
      <c r="E265" s="243" t="s">
        <v>156</v>
      </c>
      <c r="F265" s="246"/>
      <c r="G265" s="246"/>
      <c r="H265" s="246"/>
      <c r="I265" s="244" t="s">
        <v>163</v>
      </c>
      <c r="J265" s="243" t="s">
        <v>157</v>
      </c>
      <c r="K265" s="246"/>
      <c r="L265" s="246"/>
      <c r="M265" s="244" t="s">
        <v>155</v>
      </c>
      <c r="N265" s="243" t="s">
        <v>158</v>
      </c>
    </row>
    <row r="266" spans="1:14" x14ac:dyDescent="0.25">
      <c r="D266" s="137" t="s">
        <v>193</v>
      </c>
      <c r="E266" s="240">
        <v>0.152</v>
      </c>
      <c r="I266" s="137" t="s">
        <v>83</v>
      </c>
      <c r="J266" s="240">
        <v>7.5999999999999998E-2</v>
      </c>
      <c r="M266" s="137" t="s">
        <v>83</v>
      </c>
      <c r="N266" s="240">
        <v>1.32</v>
      </c>
    </row>
    <row r="267" spans="1:14" x14ac:dyDescent="0.25">
      <c r="D267" s="137" t="s">
        <v>102</v>
      </c>
      <c r="E267" s="240">
        <v>0.313</v>
      </c>
      <c r="I267" s="137" t="s">
        <v>91</v>
      </c>
      <c r="J267" s="240">
        <v>7.5999999999999998E-2</v>
      </c>
      <c r="M267" s="137" t="s">
        <v>102</v>
      </c>
      <c r="N267" s="240">
        <v>2.06</v>
      </c>
    </row>
    <row r="268" spans="1:14" x14ac:dyDescent="0.25">
      <c r="D268" s="137" t="s">
        <v>150</v>
      </c>
      <c r="E268" s="240">
        <v>0.40799999999999997</v>
      </c>
      <c r="I268" s="137" t="s">
        <v>102</v>
      </c>
      <c r="J268" s="240">
        <v>0.159</v>
      </c>
      <c r="M268" s="137" t="s">
        <v>91</v>
      </c>
      <c r="N268" s="240">
        <v>2.34</v>
      </c>
    </row>
    <row r="269" spans="1:14" x14ac:dyDescent="0.25">
      <c r="D269" s="137" t="s">
        <v>122</v>
      </c>
      <c r="E269" s="240">
        <v>0.61299999999999999</v>
      </c>
      <c r="I269" s="137" t="s">
        <v>150</v>
      </c>
      <c r="J269" s="240">
        <v>0.23300000000000001</v>
      </c>
      <c r="M269" s="137" t="s">
        <v>150</v>
      </c>
      <c r="N269" s="240">
        <v>4</v>
      </c>
    </row>
    <row r="270" spans="1:14" x14ac:dyDescent="0.25">
      <c r="D270" s="137" t="s">
        <v>101</v>
      </c>
      <c r="E270" s="240">
        <v>0.72599999999999998</v>
      </c>
      <c r="I270" s="137" t="s">
        <v>95</v>
      </c>
      <c r="J270" s="240">
        <v>0.40699999999999997</v>
      </c>
      <c r="M270" s="137" t="s">
        <v>101</v>
      </c>
      <c r="N270" s="240">
        <v>4.74</v>
      </c>
    </row>
    <row r="271" spans="1:14" x14ac:dyDescent="0.25">
      <c r="D271" s="137" t="s">
        <v>121</v>
      </c>
      <c r="E271" s="240">
        <v>0.80200000000000005</v>
      </c>
      <c r="I271" s="137" t="s">
        <v>122</v>
      </c>
      <c r="J271" s="240">
        <v>1.0389999999999999</v>
      </c>
      <c r="M271" s="137" t="s">
        <v>122</v>
      </c>
      <c r="N271" s="240">
        <v>5.69</v>
      </c>
    </row>
    <row r="272" spans="1:14" x14ac:dyDescent="0.25">
      <c r="D272" s="137" t="s">
        <v>79</v>
      </c>
      <c r="E272" s="240">
        <v>0.89200000000000002</v>
      </c>
      <c r="I272" s="137" t="s">
        <v>101</v>
      </c>
      <c r="J272" s="240">
        <v>1.3009999999999999</v>
      </c>
      <c r="M272" s="137" t="s">
        <v>121</v>
      </c>
      <c r="N272" s="240">
        <v>7.48</v>
      </c>
    </row>
    <row r="273" spans="1:14" x14ac:dyDescent="0.25">
      <c r="D273" s="137" t="s">
        <v>95</v>
      </c>
      <c r="E273" s="240">
        <v>1.05</v>
      </c>
      <c r="I273" s="137" t="s">
        <v>121</v>
      </c>
      <c r="J273" s="240">
        <v>1.427</v>
      </c>
      <c r="M273" s="137" t="s">
        <v>79</v>
      </c>
      <c r="N273" s="240">
        <v>7.67</v>
      </c>
    </row>
    <row r="274" spans="1:14" x14ac:dyDescent="0.25">
      <c r="D274" s="141" t="s">
        <v>149</v>
      </c>
      <c r="E274" s="241">
        <v>2.101</v>
      </c>
      <c r="I274" s="137" t="s">
        <v>79</v>
      </c>
      <c r="J274" s="240">
        <v>1.645</v>
      </c>
      <c r="M274" s="137" t="s">
        <v>95</v>
      </c>
      <c r="N274" s="240">
        <v>7.77</v>
      </c>
    </row>
    <row r="275" spans="1:14" x14ac:dyDescent="0.25">
      <c r="I275" s="174" t="s">
        <v>149</v>
      </c>
      <c r="J275" s="141">
        <v>6.2869999999999999</v>
      </c>
      <c r="M275" s="174" t="s">
        <v>149</v>
      </c>
      <c r="N275" s="141">
        <v>10</v>
      </c>
    </row>
    <row r="278" spans="1:14" x14ac:dyDescent="0.25">
      <c r="A278" s="239" t="s">
        <v>194</v>
      </c>
      <c r="B278" s="239"/>
    </row>
    <row r="279" spans="1:14" x14ac:dyDescent="0.25">
      <c r="A279" s="246" t="s">
        <v>151</v>
      </c>
      <c r="B279" s="246"/>
      <c r="C279" s="246"/>
      <c r="D279" s="246"/>
      <c r="E279" s="246"/>
      <c r="F279" s="246"/>
      <c r="G279" s="246"/>
      <c r="H279" s="246"/>
      <c r="I279" s="246" t="s">
        <v>152</v>
      </c>
      <c r="J279" s="246"/>
      <c r="K279" s="246"/>
      <c r="L279" s="246"/>
      <c r="M279" s="246" t="s">
        <v>153</v>
      </c>
      <c r="N279" s="246"/>
    </row>
    <row r="280" spans="1:14" x14ac:dyDescent="0.25">
      <c r="A280" s="246" t="s">
        <v>167</v>
      </c>
      <c r="B280" s="246"/>
      <c r="C280" s="246"/>
      <c r="D280" s="244" t="s">
        <v>155</v>
      </c>
      <c r="E280" s="243" t="s">
        <v>156</v>
      </c>
      <c r="F280" s="246"/>
      <c r="G280" s="246"/>
      <c r="H280" s="246"/>
      <c r="I280" s="244" t="s">
        <v>163</v>
      </c>
      <c r="J280" s="243" t="s">
        <v>157</v>
      </c>
      <c r="K280" s="246"/>
      <c r="L280" s="246"/>
      <c r="M280" s="244" t="s">
        <v>155</v>
      </c>
      <c r="N280" s="243" t="s">
        <v>158</v>
      </c>
    </row>
    <row r="281" spans="1:14" x14ac:dyDescent="0.25">
      <c r="D281" s="137" t="s">
        <v>169</v>
      </c>
      <c r="E281" s="240">
        <v>0.19900000000000001</v>
      </c>
      <c r="I281" s="137" t="s">
        <v>79</v>
      </c>
      <c r="J281" s="240">
        <v>0.38100000000000001</v>
      </c>
      <c r="M281" s="137" t="s">
        <v>95</v>
      </c>
      <c r="N281" s="240">
        <v>1.86</v>
      </c>
    </row>
    <row r="282" spans="1:14" x14ac:dyDescent="0.25">
      <c r="D282" s="137" t="s">
        <v>150</v>
      </c>
      <c r="E282" s="240">
        <v>0.32100000000000001</v>
      </c>
      <c r="I282" s="137" t="s">
        <v>95</v>
      </c>
      <c r="J282" s="240">
        <v>0.47899999999999998</v>
      </c>
      <c r="M282" s="137" t="s">
        <v>79</v>
      </c>
      <c r="N282" s="240">
        <v>2.74</v>
      </c>
    </row>
    <row r="283" spans="1:14" x14ac:dyDescent="0.25">
      <c r="D283" s="137" t="s">
        <v>79</v>
      </c>
      <c r="E283" s="240">
        <v>0.374</v>
      </c>
      <c r="I283" s="137" t="s">
        <v>102</v>
      </c>
      <c r="J283" s="240">
        <v>0.63200000000000001</v>
      </c>
      <c r="M283" s="137" t="s">
        <v>83</v>
      </c>
      <c r="N283" s="240">
        <v>3.22</v>
      </c>
    </row>
    <row r="284" spans="1:14" x14ac:dyDescent="0.25">
      <c r="D284" s="137" t="s">
        <v>91</v>
      </c>
      <c r="E284" s="240">
        <v>0.58399999999999996</v>
      </c>
      <c r="I284" s="137" t="s">
        <v>83</v>
      </c>
      <c r="J284" s="240">
        <v>0.65900000000000003</v>
      </c>
      <c r="M284" s="137" t="s">
        <v>102</v>
      </c>
      <c r="N284" s="240">
        <v>4.05</v>
      </c>
    </row>
    <row r="285" spans="1:14" x14ac:dyDescent="0.25">
      <c r="D285" s="137" t="s">
        <v>102</v>
      </c>
      <c r="E285" s="240">
        <v>0.73399999999999999</v>
      </c>
      <c r="I285" s="137" t="s">
        <v>150</v>
      </c>
      <c r="J285" s="240">
        <v>0.97599999999999998</v>
      </c>
      <c r="M285" s="137" t="s">
        <v>150</v>
      </c>
      <c r="N285" s="240">
        <v>4.95</v>
      </c>
    </row>
    <row r="286" spans="1:14" x14ac:dyDescent="0.25">
      <c r="D286" s="137" t="s">
        <v>149</v>
      </c>
      <c r="E286" s="240">
        <v>0.996</v>
      </c>
      <c r="I286" s="137" t="s">
        <v>149</v>
      </c>
      <c r="J286" s="240">
        <v>1.1890000000000001</v>
      </c>
      <c r="M286" s="137" t="s">
        <v>101</v>
      </c>
      <c r="N286" s="240">
        <v>5.62</v>
      </c>
    </row>
    <row r="287" spans="1:14" x14ac:dyDescent="0.25">
      <c r="D287" s="137" t="s">
        <v>122</v>
      </c>
      <c r="E287" s="240">
        <v>1.145</v>
      </c>
      <c r="I287" s="137" t="s">
        <v>91</v>
      </c>
      <c r="J287" s="240">
        <v>1.3169999999999999</v>
      </c>
      <c r="M287" s="137" t="s">
        <v>149</v>
      </c>
      <c r="N287" s="240">
        <v>5.96</v>
      </c>
    </row>
    <row r="288" spans="1:14" x14ac:dyDescent="0.25">
      <c r="D288" s="137" t="s">
        <v>121</v>
      </c>
      <c r="E288" s="240">
        <v>1.282</v>
      </c>
      <c r="I288" s="137" t="s">
        <v>122</v>
      </c>
      <c r="J288" s="240">
        <v>1.3240000000000001</v>
      </c>
      <c r="M288" s="137" t="s">
        <v>121</v>
      </c>
      <c r="N288" s="240">
        <v>6.18</v>
      </c>
    </row>
    <row r="289" spans="1:14" x14ac:dyDescent="0.25">
      <c r="D289" s="141" t="s">
        <v>101</v>
      </c>
      <c r="E289" s="241">
        <v>1.5269999999999999</v>
      </c>
      <c r="I289" s="137" t="s">
        <v>121</v>
      </c>
      <c r="J289" s="240">
        <v>1.5229999999999999</v>
      </c>
      <c r="M289" s="137" t="s">
        <v>91</v>
      </c>
      <c r="N289" s="240">
        <v>6.65</v>
      </c>
    </row>
    <row r="290" spans="1:14" x14ac:dyDescent="0.25">
      <c r="I290" s="174" t="s">
        <v>101</v>
      </c>
      <c r="J290" s="141">
        <v>2.3170000000000002</v>
      </c>
      <c r="M290" s="174" t="s">
        <v>122</v>
      </c>
      <c r="N290" s="141">
        <v>6.73</v>
      </c>
    </row>
    <row r="293" spans="1:14" x14ac:dyDescent="0.25">
      <c r="A293" s="248" t="s">
        <v>195</v>
      </c>
      <c r="B293" s="248"/>
    </row>
    <row r="294" spans="1:14" x14ac:dyDescent="0.25">
      <c r="A294" s="246" t="s">
        <v>151</v>
      </c>
      <c r="B294" s="246"/>
      <c r="C294" s="246"/>
      <c r="D294" s="246"/>
      <c r="E294" s="246"/>
      <c r="F294" s="246"/>
      <c r="G294" s="246"/>
      <c r="H294" s="246"/>
      <c r="I294" s="246" t="s">
        <v>152</v>
      </c>
      <c r="J294" s="246"/>
      <c r="K294" s="246"/>
      <c r="L294" s="246"/>
      <c r="M294" s="246" t="s">
        <v>153</v>
      </c>
      <c r="N294" s="246"/>
    </row>
    <row r="295" spans="1:14" x14ac:dyDescent="0.25">
      <c r="A295" s="246" t="s">
        <v>167</v>
      </c>
      <c r="B295" s="246"/>
      <c r="C295" s="246"/>
      <c r="D295" s="244" t="s">
        <v>155</v>
      </c>
      <c r="E295" s="243" t="s">
        <v>156</v>
      </c>
      <c r="F295" s="246"/>
      <c r="G295" s="246"/>
      <c r="H295" s="246"/>
      <c r="I295" s="244" t="s">
        <v>163</v>
      </c>
      <c r="J295" s="243" t="s">
        <v>157</v>
      </c>
      <c r="K295" s="246"/>
      <c r="L295" s="246"/>
      <c r="M295" s="244" t="s">
        <v>155</v>
      </c>
      <c r="N295" s="243" t="s">
        <v>158</v>
      </c>
    </row>
    <row r="296" spans="1:14" x14ac:dyDescent="0.25">
      <c r="D296" s="137" t="s">
        <v>185</v>
      </c>
      <c r="E296" s="240">
        <v>0.04</v>
      </c>
      <c r="I296" s="137" t="s">
        <v>149</v>
      </c>
      <c r="J296" s="240">
        <v>0.02</v>
      </c>
      <c r="M296" s="137" t="s">
        <v>149</v>
      </c>
      <c r="N296" s="240">
        <v>1.86</v>
      </c>
    </row>
    <row r="297" spans="1:14" x14ac:dyDescent="0.25">
      <c r="D297" s="137" t="s">
        <v>150</v>
      </c>
      <c r="E297" s="240">
        <v>0.26200000000000001</v>
      </c>
      <c r="I297" s="137" t="s">
        <v>122</v>
      </c>
      <c r="J297" s="240">
        <v>0.02</v>
      </c>
      <c r="M297" s="137" t="s">
        <v>122</v>
      </c>
      <c r="N297" s="240">
        <v>1.93</v>
      </c>
    </row>
    <row r="298" spans="1:14" x14ac:dyDescent="0.25">
      <c r="D298" s="137" t="s">
        <v>83</v>
      </c>
      <c r="E298" s="240">
        <v>0.60799999999999998</v>
      </c>
      <c r="I298" s="137" t="s">
        <v>121</v>
      </c>
      <c r="J298" s="240">
        <v>0.46</v>
      </c>
      <c r="M298" s="137" t="s">
        <v>79</v>
      </c>
      <c r="N298" s="240">
        <v>3.94</v>
      </c>
    </row>
    <row r="299" spans="1:14" x14ac:dyDescent="0.25">
      <c r="D299" s="137" t="s">
        <v>79</v>
      </c>
      <c r="E299" s="240">
        <v>0.85299999999999998</v>
      </c>
      <c r="I299" s="137" t="s">
        <v>102</v>
      </c>
      <c r="J299" s="240">
        <v>0.628</v>
      </c>
      <c r="M299" s="137" t="s">
        <v>95</v>
      </c>
      <c r="N299" s="240">
        <v>4.12</v>
      </c>
    </row>
    <row r="300" spans="1:14" x14ac:dyDescent="0.25">
      <c r="D300" s="137" t="s">
        <v>95</v>
      </c>
      <c r="E300" s="240">
        <v>0.93899999999999995</v>
      </c>
      <c r="I300" s="137" t="s">
        <v>150</v>
      </c>
      <c r="J300" s="240">
        <v>0.68500000000000005</v>
      </c>
      <c r="M300" s="137" t="s">
        <v>83</v>
      </c>
      <c r="N300" s="240">
        <v>4.28</v>
      </c>
    </row>
    <row r="301" spans="1:14" x14ac:dyDescent="0.25">
      <c r="D301" s="137" t="s">
        <v>121</v>
      </c>
      <c r="E301" s="240">
        <v>1.0549999999999999</v>
      </c>
      <c r="I301" s="137" t="s">
        <v>79</v>
      </c>
      <c r="J301" s="240">
        <v>0.98199999999999998</v>
      </c>
      <c r="M301" s="137" t="s">
        <v>150</v>
      </c>
      <c r="N301" s="240">
        <v>5.0999999999999996</v>
      </c>
    </row>
    <row r="302" spans="1:14" x14ac:dyDescent="0.25">
      <c r="D302" s="137" t="s">
        <v>102</v>
      </c>
      <c r="E302" s="240">
        <v>1.123</v>
      </c>
      <c r="I302" s="137" t="s">
        <v>83</v>
      </c>
      <c r="J302" s="240">
        <v>1.0680000000000001</v>
      </c>
      <c r="M302" s="137" t="s">
        <v>121</v>
      </c>
      <c r="N302" s="240">
        <v>5.21</v>
      </c>
    </row>
    <row r="303" spans="1:14" x14ac:dyDescent="0.25">
      <c r="D303" s="137" t="s">
        <v>91</v>
      </c>
      <c r="E303" s="240">
        <v>1.2629999999999999</v>
      </c>
      <c r="I303" s="137" t="s">
        <v>95</v>
      </c>
      <c r="J303" s="240">
        <v>1.181</v>
      </c>
      <c r="M303" s="137" t="s">
        <v>102</v>
      </c>
      <c r="N303" s="240">
        <v>5.26</v>
      </c>
    </row>
    <row r="304" spans="1:14" x14ac:dyDescent="0.25">
      <c r="D304" s="141" t="s">
        <v>101</v>
      </c>
      <c r="E304" s="241">
        <v>2.1970000000000001</v>
      </c>
      <c r="I304" s="137" t="s">
        <v>91</v>
      </c>
      <c r="J304" s="240">
        <v>2.1589999999999998</v>
      </c>
      <c r="M304" s="137" t="s">
        <v>91</v>
      </c>
      <c r="N304" s="240">
        <v>8.74</v>
      </c>
    </row>
    <row r="305" spans="1:14" x14ac:dyDescent="0.25">
      <c r="I305" s="174" t="s">
        <v>101</v>
      </c>
      <c r="J305" s="141">
        <v>5.8929999999999998</v>
      </c>
      <c r="M305" s="174" t="s">
        <v>101</v>
      </c>
      <c r="N305" s="141">
        <v>10</v>
      </c>
    </row>
    <row r="306" spans="1:14" x14ac:dyDescent="0.25">
      <c r="M306" s="249"/>
    </row>
    <row r="308" spans="1:14" x14ac:dyDescent="0.25">
      <c r="A308" s="247" t="s">
        <v>196</v>
      </c>
      <c r="B308" s="247"/>
    </row>
    <row r="309" spans="1:14" x14ac:dyDescent="0.25">
      <c r="A309" s="246" t="s">
        <v>151</v>
      </c>
      <c r="B309" s="246"/>
      <c r="C309" s="246"/>
      <c r="D309" s="246"/>
      <c r="E309" s="246"/>
      <c r="F309" s="246"/>
      <c r="G309" s="246"/>
      <c r="H309" s="246"/>
      <c r="I309" s="246" t="s">
        <v>152</v>
      </c>
      <c r="J309" s="246"/>
      <c r="K309" s="246"/>
      <c r="L309" s="246"/>
      <c r="M309" s="246" t="s">
        <v>153</v>
      </c>
      <c r="N309" s="246"/>
    </row>
    <row r="310" spans="1:14" x14ac:dyDescent="0.25">
      <c r="A310" s="246" t="s">
        <v>167</v>
      </c>
      <c r="B310" s="246"/>
      <c r="C310" s="246"/>
      <c r="D310" s="244" t="s">
        <v>155</v>
      </c>
      <c r="E310" s="243" t="s">
        <v>156</v>
      </c>
      <c r="F310" s="246"/>
      <c r="G310" s="246"/>
      <c r="H310" s="246"/>
      <c r="I310" s="244" t="s">
        <v>163</v>
      </c>
      <c r="J310" s="243" t="s">
        <v>157</v>
      </c>
      <c r="K310" s="246"/>
      <c r="L310" s="246"/>
      <c r="M310" s="244" t="s">
        <v>155</v>
      </c>
      <c r="N310" s="243" t="s">
        <v>158</v>
      </c>
    </row>
    <row r="311" spans="1:14" x14ac:dyDescent="0.25">
      <c r="D311" s="137" t="s">
        <v>197</v>
      </c>
      <c r="E311" s="240">
        <v>0.25</v>
      </c>
      <c r="I311" s="137" t="s">
        <v>122</v>
      </c>
      <c r="J311" s="240">
        <v>8.8999999999999996E-2</v>
      </c>
      <c r="M311" s="137" t="s">
        <v>122</v>
      </c>
      <c r="N311" s="240">
        <v>2.11</v>
      </c>
    </row>
    <row r="312" spans="1:14" x14ac:dyDescent="0.25">
      <c r="D312" s="137" t="s">
        <v>91</v>
      </c>
      <c r="E312" s="240">
        <v>0.35499999999999998</v>
      </c>
      <c r="I312" s="137" t="s">
        <v>149</v>
      </c>
      <c r="J312" s="240">
        <v>0.58599999999999997</v>
      </c>
      <c r="M312" s="137" t="s">
        <v>83</v>
      </c>
      <c r="N312" s="240">
        <v>2.82</v>
      </c>
    </row>
    <row r="313" spans="1:14" x14ac:dyDescent="0.25">
      <c r="D313" s="137" t="s">
        <v>150</v>
      </c>
      <c r="E313" s="240">
        <v>0.81599999999999995</v>
      </c>
      <c r="I313" s="137" t="s">
        <v>83</v>
      </c>
      <c r="J313" s="240">
        <v>0.86699999999999999</v>
      </c>
      <c r="M313" s="137" t="s">
        <v>149</v>
      </c>
      <c r="N313" s="240">
        <v>3.31</v>
      </c>
    </row>
    <row r="314" spans="1:14" x14ac:dyDescent="0.25">
      <c r="D314" s="137" t="s">
        <v>122</v>
      </c>
      <c r="E314" s="240">
        <v>1.01</v>
      </c>
      <c r="I314" s="137" t="s">
        <v>150</v>
      </c>
      <c r="J314" s="240">
        <v>0.93799999999999994</v>
      </c>
      <c r="M314" s="137" t="s">
        <v>79</v>
      </c>
      <c r="N314" s="240">
        <v>3.5</v>
      </c>
    </row>
    <row r="315" spans="1:14" x14ac:dyDescent="0.25">
      <c r="D315" s="137" t="s">
        <v>149</v>
      </c>
      <c r="E315" s="240">
        <v>1.054</v>
      </c>
      <c r="I315" s="137" t="s">
        <v>79</v>
      </c>
      <c r="J315" s="240">
        <v>1.002</v>
      </c>
      <c r="M315" s="137" t="s">
        <v>150</v>
      </c>
      <c r="N315" s="240">
        <v>4.76</v>
      </c>
    </row>
    <row r="316" spans="1:14" x14ac:dyDescent="0.25">
      <c r="D316" s="137" t="s">
        <v>102</v>
      </c>
      <c r="E316" s="240">
        <v>1.1990000000000001</v>
      </c>
      <c r="I316" s="137" t="s">
        <v>102</v>
      </c>
      <c r="J316" s="240">
        <v>1.1080000000000001</v>
      </c>
      <c r="M316" s="137" t="s">
        <v>121</v>
      </c>
      <c r="N316" s="240">
        <v>4.76</v>
      </c>
    </row>
    <row r="317" spans="1:14" x14ac:dyDescent="0.25">
      <c r="D317" s="137" t="s">
        <v>121</v>
      </c>
      <c r="E317" s="240">
        <v>1.286</v>
      </c>
      <c r="I317" s="137" t="s">
        <v>91</v>
      </c>
      <c r="J317" s="240">
        <v>1.1399999999999999</v>
      </c>
      <c r="M317" s="137" t="s">
        <v>102</v>
      </c>
      <c r="N317" s="240">
        <v>5.45</v>
      </c>
    </row>
    <row r="318" spans="1:14" x14ac:dyDescent="0.25">
      <c r="D318" s="137" t="s">
        <v>95</v>
      </c>
      <c r="E318" s="240">
        <v>1.405</v>
      </c>
      <c r="I318" s="137" t="s">
        <v>121</v>
      </c>
      <c r="J318" s="240">
        <v>1.286</v>
      </c>
      <c r="M318" s="137" t="s">
        <v>91</v>
      </c>
      <c r="N318" s="240">
        <v>5.8</v>
      </c>
    </row>
    <row r="319" spans="1:14" x14ac:dyDescent="0.25">
      <c r="D319" s="141" t="s">
        <v>101</v>
      </c>
      <c r="E319" s="241">
        <v>1.677</v>
      </c>
      <c r="I319" s="137" t="s">
        <v>95</v>
      </c>
      <c r="J319" s="240">
        <v>1.923</v>
      </c>
      <c r="M319" s="137" t="s">
        <v>101</v>
      </c>
      <c r="N319" s="240">
        <v>6.69</v>
      </c>
    </row>
    <row r="320" spans="1:14" x14ac:dyDescent="0.25">
      <c r="I320" s="174" t="s">
        <v>101</v>
      </c>
      <c r="J320" s="141">
        <v>2.6440000000000001</v>
      </c>
      <c r="M320" s="174" t="s">
        <v>95</v>
      </c>
      <c r="N320" s="141">
        <v>9.24</v>
      </c>
    </row>
    <row r="322" spans="1:14" s="250" customFormat="1" x14ac:dyDescent="0.25"/>
    <row r="324" spans="1:14" x14ac:dyDescent="0.25">
      <c r="A324" s="239" t="s">
        <v>198</v>
      </c>
      <c r="B324" s="239"/>
    </row>
    <row r="325" spans="1:14" x14ac:dyDescent="0.25">
      <c r="A325" s="246" t="s">
        <v>151</v>
      </c>
      <c r="B325" s="246"/>
      <c r="C325" s="246"/>
      <c r="D325" s="246"/>
      <c r="E325" s="246"/>
      <c r="F325" s="246"/>
      <c r="G325" s="246"/>
      <c r="H325" s="246"/>
      <c r="I325" s="246" t="s">
        <v>152</v>
      </c>
      <c r="J325" s="246"/>
      <c r="K325" s="246"/>
      <c r="L325" s="246"/>
      <c r="M325" s="246" t="s">
        <v>153</v>
      </c>
      <c r="N325" s="246"/>
    </row>
    <row r="326" spans="1:14" x14ac:dyDescent="0.25">
      <c r="A326" s="246" t="s">
        <v>167</v>
      </c>
      <c r="B326" s="246"/>
      <c r="C326" s="246"/>
      <c r="D326" s="244" t="s">
        <v>155</v>
      </c>
      <c r="E326" s="245" t="s">
        <v>156</v>
      </c>
      <c r="F326" s="246"/>
      <c r="G326" s="246"/>
      <c r="H326" s="246"/>
      <c r="I326" s="244" t="s">
        <v>163</v>
      </c>
      <c r="J326" s="245" t="s">
        <v>157</v>
      </c>
      <c r="K326" s="246"/>
      <c r="L326" s="246"/>
      <c r="M326" s="244" t="s">
        <v>155</v>
      </c>
      <c r="N326" s="245" t="s">
        <v>158</v>
      </c>
    </row>
    <row r="327" spans="1:14" x14ac:dyDescent="0.25">
      <c r="D327" s="137" t="s">
        <v>193</v>
      </c>
      <c r="E327" s="240">
        <v>1.0640000000000001</v>
      </c>
      <c r="I327" s="137" t="s">
        <v>102</v>
      </c>
      <c r="J327" s="240">
        <v>0.48099999999999998</v>
      </c>
      <c r="M327" s="137" t="s">
        <v>102</v>
      </c>
      <c r="N327" s="240">
        <v>1.86</v>
      </c>
    </row>
    <row r="328" spans="1:14" x14ac:dyDescent="0.25">
      <c r="D328" s="137" t="s">
        <v>79</v>
      </c>
      <c r="E328" s="240">
        <v>1.302</v>
      </c>
      <c r="I328" s="137" t="s">
        <v>79</v>
      </c>
      <c r="J328" s="240">
        <v>0.96899999999999997</v>
      </c>
      <c r="M328" s="137" t="s">
        <v>79</v>
      </c>
      <c r="N328" s="240">
        <v>2.91</v>
      </c>
    </row>
    <row r="329" spans="1:14" x14ac:dyDescent="0.25">
      <c r="D329" s="137" t="s">
        <v>102</v>
      </c>
      <c r="E329" s="240">
        <v>1.3919999999999999</v>
      </c>
      <c r="I329" s="137" t="s">
        <v>122</v>
      </c>
      <c r="J329" s="240">
        <v>1.3759999999999999</v>
      </c>
      <c r="M329" s="137" t="s">
        <v>122</v>
      </c>
      <c r="N329" s="240">
        <v>3.46</v>
      </c>
    </row>
    <row r="330" spans="1:14" x14ac:dyDescent="0.25">
      <c r="D330" s="137" t="s">
        <v>95</v>
      </c>
      <c r="E330" s="240">
        <v>1.556</v>
      </c>
      <c r="I330" s="137" t="s">
        <v>149</v>
      </c>
      <c r="J330" s="240">
        <v>1.399</v>
      </c>
      <c r="M330" s="137" t="s">
        <v>83</v>
      </c>
      <c r="N330" s="240">
        <v>4.45</v>
      </c>
    </row>
    <row r="331" spans="1:14" x14ac:dyDescent="0.25">
      <c r="D331" s="137" t="s">
        <v>150</v>
      </c>
      <c r="E331" s="240">
        <v>1.6419999999999999</v>
      </c>
      <c r="I331" s="137" t="s">
        <v>150</v>
      </c>
      <c r="J331" s="240">
        <v>1.478</v>
      </c>
      <c r="M331" s="137" t="s">
        <v>149</v>
      </c>
      <c r="N331" s="240">
        <v>4.8600000000000003</v>
      </c>
    </row>
    <row r="332" spans="1:14" x14ac:dyDescent="0.25">
      <c r="D332" s="137" t="s">
        <v>149</v>
      </c>
      <c r="E332" s="240">
        <v>1.806</v>
      </c>
      <c r="I332" s="137" t="s">
        <v>95</v>
      </c>
      <c r="J332" s="240">
        <v>1.48</v>
      </c>
      <c r="M332" s="137" t="s">
        <v>91</v>
      </c>
      <c r="N332" s="240">
        <v>5.03</v>
      </c>
    </row>
    <row r="333" spans="1:14" x14ac:dyDescent="0.25">
      <c r="D333" s="137" t="s">
        <v>122</v>
      </c>
      <c r="E333" s="240">
        <v>1.8660000000000001</v>
      </c>
      <c r="I333" s="137" t="s">
        <v>83</v>
      </c>
      <c r="J333" s="240">
        <v>1.607</v>
      </c>
      <c r="M333" s="137" t="s">
        <v>150</v>
      </c>
      <c r="N333" s="240">
        <v>5.18</v>
      </c>
    </row>
    <row r="334" spans="1:14" x14ac:dyDescent="0.25">
      <c r="D334" s="137" t="s">
        <v>121</v>
      </c>
      <c r="E334" s="240">
        <v>2.077</v>
      </c>
      <c r="I334" s="137" t="s">
        <v>91</v>
      </c>
      <c r="J334" s="240">
        <v>1.665</v>
      </c>
      <c r="M334" s="137" t="s">
        <v>121</v>
      </c>
      <c r="N334" s="240">
        <v>5.2</v>
      </c>
    </row>
    <row r="335" spans="1:14" x14ac:dyDescent="0.25">
      <c r="D335" s="141" t="s">
        <v>101</v>
      </c>
      <c r="E335" s="241">
        <v>2.37</v>
      </c>
      <c r="I335" s="137" t="s">
        <v>121</v>
      </c>
      <c r="J335" s="240">
        <v>2.6419999999999999</v>
      </c>
      <c r="M335" s="137" t="s">
        <v>95</v>
      </c>
      <c r="N335" s="240">
        <v>5.69</v>
      </c>
    </row>
    <row r="336" spans="1:14" x14ac:dyDescent="0.25">
      <c r="I336" s="174" t="s">
        <v>101</v>
      </c>
      <c r="J336" s="141">
        <v>3.2090000000000001</v>
      </c>
      <c r="M336" s="174" t="s">
        <v>101</v>
      </c>
      <c r="N336" s="141">
        <v>9.74</v>
      </c>
    </row>
    <row r="339" spans="1:14" x14ac:dyDescent="0.25">
      <c r="A339" s="247" t="s">
        <v>199</v>
      </c>
      <c r="B339" s="247"/>
    </row>
    <row r="340" spans="1:14" x14ac:dyDescent="0.25">
      <c r="A340" s="246" t="s">
        <v>151</v>
      </c>
      <c r="B340" s="246"/>
      <c r="C340" s="246"/>
      <c r="D340" s="246"/>
      <c r="E340" s="246"/>
      <c r="F340" s="246"/>
      <c r="G340" s="246"/>
      <c r="H340" s="246"/>
      <c r="I340" s="246" t="s">
        <v>152</v>
      </c>
      <c r="J340" s="246"/>
      <c r="K340" s="246"/>
      <c r="L340" s="246"/>
      <c r="M340" s="246" t="s">
        <v>153</v>
      </c>
      <c r="N340" s="246"/>
    </row>
    <row r="341" spans="1:14" x14ac:dyDescent="0.25">
      <c r="A341" s="246" t="s">
        <v>167</v>
      </c>
      <c r="B341" s="246"/>
      <c r="C341" s="246"/>
      <c r="D341" s="244" t="s">
        <v>155</v>
      </c>
      <c r="E341" s="245" t="s">
        <v>156</v>
      </c>
      <c r="F341" s="246"/>
      <c r="G341" s="246"/>
      <c r="H341" s="246"/>
      <c r="I341" s="244" t="s">
        <v>163</v>
      </c>
      <c r="J341" s="245" t="s">
        <v>157</v>
      </c>
      <c r="K341" s="246"/>
      <c r="L341" s="246"/>
      <c r="M341" s="244" t="s">
        <v>155</v>
      </c>
      <c r="N341" s="245" t="s">
        <v>158</v>
      </c>
    </row>
    <row r="342" spans="1:14" x14ac:dyDescent="0.25">
      <c r="D342" s="137" t="s">
        <v>181</v>
      </c>
      <c r="E342" s="240">
        <v>1.073</v>
      </c>
      <c r="I342" s="137" t="s">
        <v>91</v>
      </c>
      <c r="J342" s="240">
        <v>0.61399999999999999</v>
      </c>
      <c r="M342" s="137" t="s">
        <v>91</v>
      </c>
      <c r="N342" s="240">
        <v>1.41</v>
      </c>
    </row>
    <row r="343" spans="1:14" x14ac:dyDescent="0.25">
      <c r="D343" s="137" t="s">
        <v>122</v>
      </c>
      <c r="E343" s="240">
        <v>1.28</v>
      </c>
      <c r="I343" s="137" t="s">
        <v>122</v>
      </c>
      <c r="J343" s="240">
        <v>0.90800000000000003</v>
      </c>
      <c r="M343" s="137" t="s">
        <v>122</v>
      </c>
      <c r="N343" s="240">
        <v>2.4500000000000002</v>
      </c>
    </row>
    <row r="344" spans="1:14" x14ac:dyDescent="0.25">
      <c r="D344" s="137" t="s">
        <v>121</v>
      </c>
      <c r="E344" s="240">
        <v>1.4039999999999999</v>
      </c>
      <c r="I344" s="137" t="s">
        <v>95</v>
      </c>
      <c r="J344" s="240">
        <v>1.163</v>
      </c>
      <c r="M344" s="137" t="s">
        <v>95</v>
      </c>
      <c r="N344" s="240">
        <v>3</v>
      </c>
    </row>
    <row r="345" spans="1:14" x14ac:dyDescent="0.25">
      <c r="D345" s="137" t="s">
        <v>102</v>
      </c>
      <c r="E345" s="240">
        <v>1.504</v>
      </c>
      <c r="I345" s="137" t="s">
        <v>102</v>
      </c>
      <c r="J345" s="240">
        <v>1.175</v>
      </c>
      <c r="M345" s="137" t="s">
        <v>121</v>
      </c>
      <c r="N345" s="240">
        <v>3.16</v>
      </c>
    </row>
    <row r="346" spans="1:14" x14ac:dyDescent="0.25">
      <c r="D346" s="137" t="s">
        <v>150</v>
      </c>
      <c r="E346" s="240">
        <v>1.603</v>
      </c>
      <c r="I346" s="137" t="s">
        <v>121</v>
      </c>
      <c r="J346" s="240">
        <v>1.1930000000000001</v>
      </c>
      <c r="M346" s="137" t="s">
        <v>150</v>
      </c>
      <c r="N346" s="240">
        <v>4.5599999999999996</v>
      </c>
    </row>
    <row r="347" spans="1:14" x14ac:dyDescent="0.25">
      <c r="D347" s="137" t="s">
        <v>83</v>
      </c>
      <c r="E347" s="240">
        <v>1.7090000000000001</v>
      </c>
      <c r="I347" s="137" t="s">
        <v>150</v>
      </c>
      <c r="J347" s="240">
        <v>1.601</v>
      </c>
      <c r="M347" s="137" t="s">
        <v>102</v>
      </c>
      <c r="N347" s="240">
        <v>4.68</v>
      </c>
    </row>
    <row r="348" spans="1:14" x14ac:dyDescent="0.25">
      <c r="D348" s="137" t="s">
        <v>79</v>
      </c>
      <c r="E348" s="240">
        <v>2.0099999999999998</v>
      </c>
      <c r="I348" s="137" t="s">
        <v>83</v>
      </c>
      <c r="J348" s="240">
        <v>1.694</v>
      </c>
      <c r="M348" s="137" t="s">
        <v>79</v>
      </c>
      <c r="N348" s="240">
        <v>7.11</v>
      </c>
    </row>
    <row r="349" spans="1:14" x14ac:dyDescent="0.25">
      <c r="D349" s="137" t="s">
        <v>101</v>
      </c>
      <c r="E349" s="240">
        <v>2.3250000000000002</v>
      </c>
      <c r="I349" s="137" t="s">
        <v>79</v>
      </c>
      <c r="J349" s="240">
        <v>2.54</v>
      </c>
      <c r="M349" s="137" t="s">
        <v>83</v>
      </c>
      <c r="N349" s="240">
        <v>7.24</v>
      </c>
    </row>
    <row r="350" spans="1:14" x14ac:dyDescent="0.25">
      <c r="D350" s="141" t="s">
        <v>149</v>
      </c>
      <c r="E350" s="241">
        <v>2.657</v>
      </c>
      <c r="I350" s="137" t="s">
        <v>101</v>
      </c>
      <c r="J350" s="240">
        <v>3.198</v>
      </c>
      <c r="M350" s="137" t="s">
        <v>149</v>
      </c>
      <c r="N350" s="240">
        <v>9.15</v>
      </c>
    </row>
    <row r="351" spans="1:14" x14ac:dyDescent="0.25">
      <c r="I351" s="174" t="s">
        <v>149</v>
      </c>
      <c r="J351" s="141">
        <v>3.6349999999999998</v>
      </c>
      <c r="M351" s="174" t="s">
        <v>101</v>
      </c>
      <c r="N351" s="141">
        <v>9.24</v>
      </c>
    </row>
    <row r="352" spans="1:14" x14ac:dyDescent="0.25">
      <c r="A352" s="99" t="s">
        <v>200</v>
      </c>
      <c r="B352" s="99"/>
    </row>
    <row r="353" spans="1:14" x14ac:dyDescent="0.25">
      <c r="A353" s="246" t="s">
        <v>151</v>
      </c>
      <c r="B353" s="246"/>
      <c r="C353" s="246"/>
      <c r="D353" s="246"/>
      <c r="E353" s="246"/>
      <c r="F353" s="246"/>
      <c r="G353" s="246"/>
      <c r="H353" s="246"/>
      <c r="I353" s="246" t="s">
        <v>152</v>
      </c>
      <c r="J353" s="246"/>
      <c r="K353" s="246"/>
      <c r="L353" s="246"/>
      <c r="M353" s="246" t="s">
        <v>153</v>
      </c>
      <c r="N353" s="246"/>
    </row>
    <row r="354" spans="1:14" x14ac:dyDescent="0.25">
      <c r="A354" s="246" t="s">
        <v>167</v>
      </c>
      <c r="B354" s="246"/>
      <c r="C354" s="246"/>
      <c r="D354" s="244" t="s">
        <v>155</v>
      </c>
      <c r="E354" s="245" t="s">
        <v>156</v>
      </c>
      <c r="F354" s="246"/>
      <c r="G354" s="246"/>
      <c r="H354" s="246"/>
      <c r="I354" s="244" t="s">
        <v>163</v>
      </c>
      <c r="J354" s="245" t="s">
        <v>157</v>
      </c>
      <c r="K354" s="246"/>
      <c r="L354" s="246"/>
      <c r="M354" s="244" t="s">
        <v>155</v>
      </c>
      <c r="N354" s="245" t="s">
        <v>158</v>
      </c>
    </row>
    <row r="355" spans="1:14" x14ac:dyDescent="0.25">
      <c r="D355" s="137" t="s">
        <v>193</v>
      </c>
      <c r="E355" s="240">
        <v>1.206</v>
      </c>
      <c r="I355" s="137" t="s">
        <v>102</v>
      </c>
      <c r="J355" s="240">
        <v>0.89</v>
      </c>
      <c r="M355" s="137" t="s">
        <v>102</v>
      </c>
      <c r="N355" s="240">
        <v>1.86</v>
      </c>
    </row>
    <row r="356" spans="1:14" x14ac:dyDescent="0.25">
      <c r="D356" s="137" t="s">
        <v>102</v>
      </c>
      <c r="E356" s="240">
        <v>1.423</v>
      </c>
      <c r="I356" s="137" t="s">
        <v>122</v>
      </c>
      <c r="J356" s="240">
        <v>1.1659999999999999</v>
      </c>
      <c r="M356" s="137" t="s">
        <v>91</v>
      </c>
      <c r="N356" s="240">
        <v>2.71</v>
      </c>
    </row>
    <row r="357" spans="1:14" x14ac:dyDescent="0.25">
      <c r="D357" s="137" t="s">
        <v>95</v>
      </c>
      <c r="E357" s="240">
        <v>1.615</v>
      </c>
      <c r="I357" s="137" t="s">
        <v>91</v>
      </c>
      <c r="J357" s="240">
        <v>1.2350000000000001</v>
      </c>
      <c r="M357" s="137" t="s">
        <v>122</v>
      </c>
      <c r="N357" s="240">
        <v>2.91</v>
      </c>
    </row>
    <row r="358" spans="1:14" x14ac:dyDescent="0.25">
      <c r="D358" s="137" t="s">
        <v>150</v>
      </c>
      <c r="E358" s="240">
        <v>1.746</v>
      </c>
      <c r="I358" s="137" t="s">
        <v>95</v>
      </c>
      <c r="J358" s="240">
        <v>1.4710000000000001</v>
      </c>
      <c r="M358" s="137" t="s">
        <v>83</v>
      </c>
      <c r="N358" s="240">
        <v>4.12</v>
      </c>
    </row>
    <row r="359" spans="1:14" x14ac:dyDescent="0.25">
      <c r="D359" s="137" t="s">
        <v>122</v>
      </c>
      <c r="E359" s="240">
        <v>1.82</v>
      </c>
      <c r="I359" s="137" t="s">
        <v>150</v>
      </c>
      <c r="J359" s="240">
        <v>1.514</v>
      </c>
      <c r="M359" s="137" t="s">
        <v>150</v>
      </c>
      <c r="N359" s="240">
        <v>4.4000000000000004</v>
      </c>
    </row>
    <row r="360" spans="1:14" x14ac:dyDescent="0.25">
      <c r="D360" s="137" t="s">
        <v>79</v>
      </c>
      <c r="E360" s="240">
        <v>1.974</v>
      </c>
      <c r="I360" s="137" t="s">
        <v>83</v>
      </c>
      <c r="J360" s="240">
        <v>1.621</v>
      </c>
      <c r="M360" s="137" t="s">
        <v>95</v>
      </c>
      <c r="N360" s="240">
        <v>4.5999999999999996</v>
      </c>
    </row>
    <row r="361" spans="1:14" x14ac:dyDescent="0.25">
      <c r="D361" s="137" t="s">
        <v>121</v>
      </c>
      <c r="E361" s="240">
        <v>2.11</v>
      </c>
      <c r="I361" s="137" t="s">
        <v>79</v>
      </c>
      <c r="J361" s="240">
        <v>1.891</v>
      </c>
      <c r="M361" s="137" t="s">
        <v>121</v>
      </c>
      <c r="N361" s="240">
        <v>4.76</v>
      </c>
    </row>
    <row r="362" spans="1:14" x14ac:dyDescent="0.25">
      <c r="D362" s="137" t="s">
        <v>149</v>
      </c>
      <c r="E362" s="240">
        <v>2.3180000000000001</v>
      </c>
      <c r="I362" s="137" t="s">
        <v>121</v>
      </c>
      <c r="J362" s="240">
        <v>2.0350000000000001</v>
      </c>
      <c r="M362" s="137" t="s">
        <v>79</v>
      </c>
      <c r="N362" s="240">
        <v>6.74</v>
      </c>
    </row>
    <row r="363" spans="1:14" x14ac:dyDescent="0.25">
      <c r="D363" s="141" t="s">
        <v>101</v>
      </c>
      <c r="E363" s="241">
        <v>2.597</v>
      </c>
      <c r="I363" s="137" t="s">
        <v>149</v>
      </c>
      <c r="J363" s="240">
        <v>2.7130000000000001</v>
      </c>
      <c r="M363" s="137" t="s">
        <v>149</v>
      </c>
      <c r="N363" s="240">
        <v>7.77</v>
      </c>
    </row>
    <row r="364" spans="1:14" x14ac:dyDescent="0.25">
      <c r="I364" s="174" t="s">
        <v>101</v>
      </c>
      <c r="J364" s="141">
        <v>3.327</v>
      </c>
      <c r="M364" s="174" t="s">
        <v>101</v>
      </c>
      <c r="N364" s="141">
        <v>10</v>
      </c>
    </row>
    <row r="368" spans="1:14" s="251" customFormat="1" x14ac:dyDescent="0.25"/>
    <row r="370" spans="1:14" x14ac:dyDescent="0.25">
      <c r="A370" s="239" t="s">
        <v>201</v>
      </c>
      <c r="B370" s="239"/>
    </row>
    <row r="371" spans="1:14" x14ac:dyDescent="0.25">
      <c r="A371" s="246" t="s">
        <v>151</v>
      </c>
      <c r="B371" s="246"/>
      <c r="C371" s="246"/>
      <c r="D371" s="246"/>
      <c r="E371" s="246"/>
      <c r="F371" s="246"/>
      <c r="G371" s="246"/>
      <c r="H371" s="246"/>
      <c r="I371" s="246" t="s">
        <v>152</v>
      </c>
      <c r="J371" s="246"/>
      <c r="K371" s="246"/>
      <c r="L371" s="246"/>
      <c r="M371" s="246" t="s">
        <v>153</v>
      </c>
      <c r="N371" s="246"/>
    </row>
    <row r="372" spans="1:14" x14ac:dyDescent="0.25">
      <c r="A372" s="246" t="s">
        <v>167</v>
      </c>
      <c r="B372" s="246"/>
      <c r="C372" s="246"/>
      <c r="D372" s="244" t="s">
        <v>155</v>
      </c>
      <c r="E372" s="245" t="s">
        <v>156</v>
      </c>
      <c r="F372" s="246"/>
      <c r="G372" s="246"/>
      <c r="H372" s="246"/>
      <c r="I372" s="244" t="s">
        <v>163</v>
      </c>
      <c r="J372" s="245" t="s">
        <v>157</v>
      </c>
      <c r="K372" s="246"/>
      <c r="L372" s="246"/>
      <c r="M372" s="244" t="s">
        <v>155</v>
      </c>
      <c r="N372" s="245" t="s">
        <v>158</v>
      </c>
    </row>
    <row r="373" spans="1:14" x14ac:dyDescent="0.25">
      <c r="D373" s="137" t="s">
        <v>168</v>
      </c>
      <c r="E373" s="240">
        <v>0.38900000000000001</v>
      </c>
      <c r="I373" s="137" t="s">
        <v>79</v>
      </c>
      <c r="J373" s="240">
        <v>0.24299999999999999</v>
      </c>
      <c r="M373" s="137" t="s">
        <v>79</v>
      </c>
      <c r="N373" s="240">
        <v>2.2400000000000002</v>
      </c>
    </row>
    <row r="374" spans="1:14" x14ac:dyDescent="0.25">
      <c r="D374" s="137" t="s">
        <v>83</v>
      </c>
      <c r="E374" s="240">
        <v>0.54300000000000004</v>
      </c>
      <c r="I374" s="137" t="s">
        <v>102</v>
      </c>
      <c r="J374" s="240">
        <v>0.24299999999999999</v>
      </c>
      <c r="M374" s="137" t="s">
        <v>150</v>
      </c>
      <c r="N374" s="240">
        <v>2.71</v>
      </c>
    </row>
    <row r="375" spans="1:14" x14ac:dyDescent="0.25">
      <c r="D375" s="137" t="s">
        <v>91</v>
      </c>
      <c r="E375" s="240">
        <v>0.64500000000000002</v>
      </c>
      <c r="I375" s="137" t="s">
        <v>150</v>
      </c>
      <c r="J375" s="240">
        <v>0.76900000000000002</v>
      </c>
      <c r="M375" s="137" t="s">
        <v>102</v>
      </c>
      <c r="N375" s="240">
        <v>3.13</v>
      </c>
    </row>
    <row r="376" spans="1:14" x14ac:dyDescent="0.25">
      <c r="D376" s="137" t="s">
        <v>79</v>
      </c>
      <c r="E376" s="240">
        <v>0.751</v>
      </c>
      <c r="I376" s="137" t="s">
        <v>122</v>
      </c>
      <c r="J376" s="240">
        <v>0.99199999999999999</v>
      </c>
      <c r="M376" s="137" t="s">
        <v>95</v>
      </c>
      <c r="N376" s="240">
        <v>3.74</v>
      </c>
    </row>
    <row r="377" spans="1:14" x14ac:dyDescent="0.25">
      <c r="D377" s="137" t="s">
        <v>102</v>
      </c>
      <c r="E377" s="240">
        <v>0.85</v>
      </c>
      <c r="I377" s="137" t="s">
        <v>83</v>
      </c>
      <c r="J377" s="240">
        <v>1.0509999999999999</v>
      </c>
      <c r="M377" s="137" t="s">
        <v>122</v>
      </c>
      <c r="N377" s="240">
        <v>4.28</v>
      </c>
    </row>
    <row r="378" spans="1:14" x14ac:dyDescent="0.25">
      <c r="D378" s="137" t="s">
        <v>122</v>
      </c>
      <c r="E378" s="240">
        <v>1.091</v>
      </c>
      <c r="I378" s="137" t="s">
        <v>149</v>
      </c>
      <c r="J378" s="240">
        <v>1.099</v>
      </c>
      <c r="M378" s="137" t="s">
        <v>83</v>
      </c>
      <c r="N378" s="240">
        <v>5.0999999999999996</v>
      </c>
    </row>
    <row r="379" spans="1:14" x14ac:dyDescent="0.25">
      <c r="D379" s="137" t="s">
        <v>149</v>
      </c>
      <c r="E379" s="240">
        <v>1.2010000000000001</v>
      </c>
      <c r="I379" s="137" t="s">
        <v>95</v>
      </c>
      <c r="J379" s="240">
        <v>1.101</v>
      </c>
      <c r="M379" s="137" t="s">
        <v>121</v>
      </c>
      <c r="N379" s="240">
        <v>5.62</v>
      </c>
    </row>
    <row r="380" spans="1:14" x14ac:dyDescent="0.25">
      <c r="D380" s="137" t="s">
        <v>101</v>
      </c>
      <c r="E380" s="240">
        <v>1.4219999999999999</v>
      </c>
      <c r="I380" s="137" t="s">
        <v>91</v>
      </c>
      <c r="J380" s="240">
        <v>1.5509999999999999</v>
      </c>
      <c r="M380" s="137" t="s">
        <v>149</v>
      </c>
      <c r="N380" s="240">
        <v>5.63</v>
      </c>
    </row>
    <row r="381" spans="1:14" x14ac:dyDescent="0.25">
      <c r="D381" s="141" t="s">
        <v>121</v>
      </c>
      <c r="E381" s="241">
        <v>1.633</v>
      </c>
      <c r="I381" s="137" t="s">
        <v>101</v>
      </c>
      <c r="J381" s="240">
        <v>1.976</v>
      </c>
      <c r="M381" s="137" t="s">
        <v>91</v>
      </c>
      <c r="N381" s="240">
        <v>7.11</v>
      </c>
    </row>
    <row r="382" spans="1:14" x14ac:dyDescent="0.25">
      <c r="I382" s="174" t="s">
        <v>121</v>
      </c>
      <c r="J382" s="141">
        <v>2.339</v>
      </c>
      <c r="M382" s="174" t="s">
        <v>101</v>
      </c>
      <c r="N382" s="141">
        <v>8.74</v>
      </c>
    </row>
    <row r="384" spans="1:14" x14ac:dyDescent="0.25">
      <c r="A384" s="247" t="s">
        <v>202</v>
      </c>
      <c r="B384" s="247"/>
    </row>
    <row r="385" spans="1:14" x14ac:dyDescent="0.25">
      <c r="A385" s="246" t="s">
        <v>151</v>
      </c>
      <c r="B385" s="246"/>
      <c r="C385" s="246"/>
      <c r="D385" s="246"/>
      <c r="E385" s="246"/>
      <c r="F385" s="246"/>
      <c r="G385" s="246"/>
      <c r="H385" s="246"/>
      <c r="I385" s="246" t="s">
        <v>152</v>
      </c>
      <c r="J385" s="246"/>
      <c r="K385" s="246"/>
      <c r="L385" s="246"/>
      <c r="M385" s="246" t="s">
        <v>153</v>
      </c>
      <c r="N385" s="246"/>
    </row>
    <row r="386" spans="1:14" x14ac:dyDescent="0.25">
      <c r="A386" s="246" t="s">
        <v>167</v>
      </c>
      <c r="B386" s="246"/>
      <c r="C386" s="246"/>
      <c r="D386" s="244" t="s">
        <v>155</v>
      </c>
      <c r="E386" s="245" t="s">
        <v>156</v>
      </c>
      <c r="F386" s="246"/>
      <c r="G386" s="246"/>
      <c r="H386" s="246"/>
      <c r="I386" s="244" t="s">
        <v>163</v>
      </c>
      <c r="J386" s="245" t="s">
        <v>157</v>
      </c>
      <c r="K386" s="246"/>
      <c r="L386" s="246"/>
      <c r="M386" s="244" t="s">
        <v>155</v>
      </c>
      <c r="N386" s="245" t="s">
        <v>158</v>
      </c>
    </row>
    <row r="387" spans="1:14" x14ac:dyDescent="0.25">
      <c r="D387" s="137" t="s">
        <v>203</v>
      </c>
      <c r="E387" s="240">
        <v>0.54400000000000004</v>
      </c>
      <c r="I387" s="137" t="s">
        <v>91</v>
      </c>
      <c r="J387" s="240">
        <v>0.20100000000000001</v>
      </c>
      <c r="M387" s="137" t="s">
        <v>91</v>
      </c>
      <c r="N387" s="240">
        <v>1.78</v>
      </c>
    </row>
    <row r="388" spans="1:14" x14ac:dyDescent="0.25">
      <c r="D388" s="137" t="s">
        <v>102</v>
      </c>
      <c r="E388" s="240">
        <v>0.6</v>
      </c>
      <c r="I388" s="137" t="s">
        <v>122</v>
      </c>
      <c r="J388" s="240">
        <v>0.34799999999999998</v>
      </c>
      <c r="M388" s="137" t="s">
        <v>122</v>
      </c>
      <c r="N388" s="240">
        <v>1.86</v>
      </c>
    </row>
    <row r="389" spans="1:14" x14ac:dyDescent="0.25">
      <c r="D389" s="137" t="s">
        <v>150</v>
      </c>
      <c r="E389" s="240">
        <v>0.63800000000000001</v>
      </c>
      <c r="I389" s="137" t="s">
        <v>150</v>
      </c>
      <c r="J389" s="240">
        <v>0.67</v>
      </c>
      <c r="M389" s="137" t="s">
        <v>79</v>
      </c>
      <c r="N389" s="240">
        <v>2.78</v>
      </c>
    </row>
    <row r="390" spans="1:14" x14ac:dyDescent="0.25">
      <c r="D390" s="137" t="s">
        <v>91</v>
      </c>
      <c r="E390" s="240">
        <v>0.66800000000000004</v>
      </c>
      <c r="I390" s="137" t="s">
        <v>79</v>
      </c>
      <c r="J390" s="240">
        <v>0.69599999999999995</v>
      </c>
      <c r="M390" s="137" t="s">
        <v>150</v>
      </c>
      <c r="N390" s="240">
        <v>3.72</v>
      </c>
    </row>
    <row r="391" spans="1:14" x14ac:dyDescent="0.25">
      <c r="D391" s="137" t="s">
        <v>121</v>
      </c>
      <c r="E391" s="240">
        <v>0.77500000000000002</v>
      </c>
      <c r="I391" s="137" t="s">
        <v>102</v>
      </c>
      <c r="J391" s="240">
        <v>0.73699999999999999</v>
      </c>
      <c r="M391" s="137" t="s">
        <v>121</v>
      </c>
      <c r="N391" s="240">
        <v>4.1399999999999997</v>
      </c>
    </row>
    <row r="392" spans="1:14" x14ac:dyDescent="0.25">
      <c r="D392" s="137" t="s">
        <v>83</v>
      </c>
      <c r="E392" s="240">
        <v>0.88700000000000001</v>
      </c>
      <c r="I392" s="137" t="s">
        <v>95</v>
      </c>
      <c r="J392" s="240">
        <v>0.75700000000000001</v>
      </c>
      <c r="M392" s="137" t="s">
        <v>102</v>
      </c>
      <c r="N392" s="240">
        <v>4.79</v>
      </c>
    </row>
    <row r="393" spans="1:14" x14ac:dyDescent="0.25">
      <c r="D393" s="137" t="s">
        <v>95</v>
      </c>
      <c r="E393" s="240">
        <v>0.96499999999999997</v>
      </c>
      <c r="I393" s="137" t="s">
        <v>121</v>
      </c>
      <c r="J393" s="240">
        <v>0.86799999999999999</v>
      </c>
      <c r="M393" s="137" t="s">
        <v>95</v>
      </c>
      <c r="N393" s="240">
        <v>6.45</v>
      </c>
    </row>
    <row r="394" spans="1:14" x14ac:dyDescent="0.25">
      <c r="D394" s="137" t="s">
        <v>149</v>
      </c>
      <c r="E394" s="240">
        <v>1.276</v>
      </c>
      <c r="I394" s="137" t="s">
        <v>83</v>
      </c>
      <c r="J394" s="240">
        <v>0.97199999999999998</v>
      </c>
      <c r="M394" s="137" t="s">
        <v>83</v>
      </c>
      <c r="N394" s="240">
        <v>7.74</v>
      </c>
    </row>
    <row r="395" spans="1:14" x14ac:dyDescent="0.25">
      <c r="D395" s="141" t="s">
        <v>101</v>
      </c>
      <c r="E395" s="241">
        <v>1.5509999999999999</v>
      </c>
      <c r="I395" s="137" t="s">
        <v>149</v>
      </c>
      <c r="J395" s="240">
        <v>2.33</v>
      </c>
      <c r="M395" s="137" t="s">
        <v>149</v>
      </c>
      <c r="N395" s="240">
        <v>9.24</v>
      </c>
    </row>
    <row r="396" spans="1:14" x14ac:dyDescent="0.25">
      <c r="I396" s="174" t="s">
        <v>101</v>
      </c>
      <c r="J396" s="141">
        <v>2.48</v>
      </c>
      <c r="M396" s="174" t="s">
        <v>101</v>
      </c>
      <c r="N396" s="141">
        <v>9.74</v>
      </c>
    </row>
    <row r="398" spans="1:14" x14ac:dyDescent="0.25">
      <c r="A398" s="99" t="s">
        <v>204</v>
      </c>
      <c r="B398" s="99"/>
    </row>
    <row r="399" spans="1:14" x14ac:dyDescent="0.25">
      <c r="A399" s="246" t="s">
        <v>151</v>
      </c>
      <c r="B399" s="246"/>
      <c r="C399" s="246"/>
      <c r="D399" s="246"/>
      <c r="E399" s="246"/>
      <c r="F399" s="246"/>
      <c r="G399" s="246"/>
      <c r="H399" s="246"/>
      <c r="I399" s="246" t="s">
        <v>152</v>
      </c>
      <c r="J399" s="246"/>
      <c r="K399" s="246"/>
      <c r="L399" s="246"/>
      <c r="M399" s="246" t="s">
        <v>153</v>
      </c>
      <c r="N399" s="246"/>
    </row>
    <row r="400" spans="1:14" x14ac:dyDescent="0.25">
      <c r="A400" s="246" t="s">
        <v>167</v>
      </c>
      <c r="B400" s="246"/>
      <c r="C400" s="246"/>
      <c r="D400" s="244" t="s">
        <v>155</v>
      </c>
      <c r="E400" s="245" t="s">
        <v>156</v>
      </c>
      <c r="F400" s="246"/>
      <c r="G400" s="246"/>
      <c r="H400" s="246"/>
      <c r="I400" s="244" t="s">
        <v>163</v>
      </c>
      <c r="J400" s="245" t="s">
        <v>157</v>
      </c>
      <c r="K400" s="246"/>
      <c r="L400" s="246"/>
      <c r="M400" s="244" t="s">
        <v>155</v>
      </c>
      <c r="N400" s="245" t="s">
        <v>158</v>
      </c>
    </row>
    <row r="401" spans="4:14" x14ac:dyDescent="0.25">
      <c r="D401" s="137" t="s">
        <v>205</v>
      </c>
      <c r="E401" s="240">
        <v>0.60299999999999998</v>
      </c>
      <c r="I401" s="137" t="s">
        <v>79</v>
      </c>
      <c r="J401" s="240">
        <v>0.42099999999999999</v>
      </c>
      <c r="M401" s="137" t="s">
        <v>79</v>
      </c>
      <c r="N401" s="240">
        <v>1.32</v>
      </c>
    </row>
    <row r="402" spans="4:14" x14ac:dyDescent="0.25">
      <c r="D402" s="137" t="s">
        <v>150</v>
      </c>
      <c r="E402" s="240">
        <v>0.67200000000000004</v>
      </c>
      <c r="I402" s="137" t="s">
        <v>102</v>
      </c>
      <c r="J402" s="240">
        <v>0.437</v>
      </c>
      <c r="M402" s="137" t="s">
        <v>102</v>
      </c>
      <c r="N402" s="240">
        <v>2</v>
      </c>
    </row>
    <row r="403" spans="4:14" x14ac:dyDescent="0.25">
      <c r="D403" s="137" t="s">
        <v>91</v>
      </c>
      <c r="E403" s="240">
        <v>0.82899999999999996</v>
      </c>
      <c r="I403" s="137" t="s">
        <v>150</v>
      </c>
      <c r="J403" s="240">
        <v>0.67700000000000005</v>
      </c>
      <c r="M403" s="137" t="s">
        <v>150</v>
      </c>
      <c r="N403" s="240">
        <v>3.71</v>
      </c>
    </row>
    <row r="404" spans="4:14" x14ac:dyDescent="0.25">
      <c r="D404" s="137" t="s">
        <v>83</v>
      </c>
      <c r="E404" s="240">
        <v>0.874</v>
      </c>
      <c r="I404" s="137" t="s">
        <v>122</v>
      </c>
      <c r="J404" s="240">
        <v>0.73799999999999999</v>
      </c>
      <c r="M404" s="137" t="s">
        <v>122</v>
      </c>
      <c r="N404" s="240">
        <v>3.87</v>
      </c>
    </row>
    <row r="405" spans="4:14" x14ac:dyDescent="0.25">
      <c r="D405" s="137" t="s">
        <v>95</v>
      </c>
      <c r="E405" s="240">
        <v>0.96599999999999997</v>
      </c>
      <c r="I405" s="137" t="s">
        <v>83</v>
      </c>
      <c r="J405" s="240">
        <v>0.95399999999999996</v>
      </c>
      <c r="M405" s="137" t="s">
        <v>121</v>
      </c>
      <c r="N405" s="240">
        <v>4.76</v>
      </c>
    </row>
    <row r="406" spans="4:14" x14ac:dyDescent="0.25">
      <c r="D406" s="137" t="s">
        <v>122</v>
      </c>
      <c r="E406" s="240">
        <v>1.0660000000000001</v>
      </c>
      <c r="I406" s="137" t="s">
        <v>91</v>
      </c>
      <c r="J406" s="240">
        <v>1.0529999999999999</v>
      </c>
      <c r="M406" s="137" t="s">
        <v>91</v>
      </c>
      <c r="N406" s="240">
        <v>5.42</v>
      </c>
    </row>
    <row r="407" spans="4:14" x14ac:dyDescent="0.25">
      <c r="D407" s="137" t="s">
        <v>121</v>
      </c>
      <c r="E407" s="240">
        <v>1.282</v>
      </c>
      <c r="I407" s="137" t="s">
        <v>95</v>
      </c>
      <c r="J407" s="240">
        <v>1.1319999999999999</v>
      </c>
      <c r="M407" s="137" t="s">
        <v>83</v>
      </c>
      <c r="N407" s="240">
        <v>5.79</v>
      </c>
    </row>
    <row r="408" spans="4:14" x14ac:dyDescent="0.25">
      <c r="D408" s="137" t="s">
        <v>149</v>
      </c>
      <c r="E408" s="240">
        <v>1.4330000000000001</v>
      </c>
      <c r="I408" s="137" t="s">
        <v>121</v>
      </c>
      <c r="J408" s="240">
        <v>1.7010000000000001</v>
      </c>
      <c r="M408" s="137" t="s">
        <v>95</v>
      </c>
      <c r="N408" s="240">
        <v>6.96</v>
      </c>
    </row>
    <row r="409" spans="4:14" x14ac:dyDescent="0.25">
      <c r="D409" s="141" t="s">
        <v>101</v>
      </c>
      <c r="E409" s="241">
        <v>1.67</v>
      </c>
      <c r="I409" s="137" t="s">
        <v>149</v>
      </c>
      <c r="J409" s="240">
        <v>1.7350000000000001</v>
      </c>
      <c r="M409" s="137" t="s">
        <v>149</v>
      </c>
      <c r="N409" s="240">
        <v>7.77</v>
      </c>
    </row>
    <row r="410" spans="4:14" x14ac:dyDescent="0.25">
      <c r="I410" s="174" t="s">
        <v>101</v>
      </c>
      <c r="J410" s="141">
        <v>2.3940000000000001</v>
      </c>
      <c r="M410" s="174" t="s">
        <v>101</v>
      </c>
      <c r="N410" s="141">
        <v>10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C299-5267-403A-A8A4-314C21C82D98}">
  <dimension ref="A1:C22"/>
  <sheetViews>
    <sheetView workbookViewId="0">
      <selection activeCell="B9" sqref="B9"/>
    </sheetView>
  </sheetViews>
  <sheetFormatPr defaultRowHeight="15" x14ac:dyDescent="0.25"/>
  <sheetData>
    <row r="1" spans="1:3" x14ac:dyDescent="0.25">
      <c r="A1" t="s">
        <v>239</v>
      </c>
      <c r="B1" t="s">
        <v>230</v>
      </c>
      <c r="C1" t="s">
        <v>167</v>
      </c>
    </row>
    <row r="2" spans="1:3" x14ac:dyDescent="0.25">
      <c r="A2" t="s">
        <v>240</v>
      </c>
      <c r="B2" t="s">
        <v>105</v>
      </c>
      <c r="C2">
        <v>0.1261719</v>
      </c>
    </row>
    <row r="3" spans="1:3" x14ac:dyDescent="0.25">
      <c r="A3" t="s">
        <v>241</v>
      </c>
      <c r="B3" t="s">
        <v>105</v>
      </c>
      <c r="C3">
        <v>0.12998580000000001</v>
      </c>
    </row>
    <row r="4" spans="1:3" x14ac:dyDescent="0.25">
      <c r="A4" t="s">
        <v>242</v>
      </c>
      <c r="B4" t="s">
        <v>105</v>
      </c>
      <c r="C4">
        <v>0.1255404</v>
      </c>
    </row>
    <row r="5" spans="1:3" x14ac:dyDescent="0.25">
      <c r="A5" t="s">
        <v>243</v>
      </c>
      <c r="B5" t="s">
        <v>105</v>
      </c>
      <c r="C5">
        <v>0.13731380000000001</v>
      </c>
    </row>
    <row r="6" spans="1:3" x14ac:dyDescent="0.25">
      <c r="A6" t="s">
        <v>244</v>
      </c>
      <c r="B6" t="s">
        <v>105</v>
      </c>
      <c r="C6">
        <v>0.19088939999999999</v>
      </c>
    </row>
    <row r="7" spans="1:3" x14ac:dyDescent="0.25">
      <c r="A7" t="s">
        <v>245</v>
      </c>
      <c r="B7" t="s">
        <v>105</v>
      </c>
      <c r="C7">
        <v>0.1728983</v>
      </c>
    </row>
    <row r="8" spans="1:3" x14ac:dyDescent="0.25">
      <c r="A8" t="s">
        <v>246</v>
      </c>
      <c r="B8" t="s">
        <v>105</v>
      </c>
      <c r="C8">
        <v>0.2</v>
      </c>
    </row>
    <row r="9" spans="1:3" x14ac:dyDescent="0.25">
      <c r="A9" t="s">
        <v>240</v>
      </c>
      <c r="B9" t="s">
        <v>161</v>
      </c>
      <c r="C9">
        <v>0.35604000000000002</v>
      </c>
    </row>
    <row r="10" spans="1:3" x14ac:dyDescent="0.25">
      <c r="A10" t="s">
        <v>241</v>
      </c>
      <c r="B10" t="s">
        <v>161</v>
      </c>
      <c r="C10">
        <v>0.28906520000000002</v>
      </c>
    </row>
    <row r="11" spans="1:3" x14ac:dyDescent="0.25">
      <c r="A11" t="s">
        <v>242</v>
      </c>
      <c r="B11" t="s">
        <v>161</v>
      </c>
      <c r="C11">
        <v>0.32956600000000003</v>
      </c>
    </row>
    <row r="12" spans="1:3" x14ac:dyDescent="0.25">
      <c r="A12" t="s">
        <v>243</v>
      </c>
      <c r="B12" t="s">
        <v>161</v>
      </c>
      <c r="C12">
        <v>0.31481019999999998</v>
      </c>
    </row>
    <row r="13" spans="1:3" x14ac:dyDescent="0.25">
      <c r="A13" t="s">
        <v>244</v>
      </c>
      <c r="B13" t="s">
        <v>161</v>
      </c>
      <c r="C13">
        <v>0.31309350000000002</v>
      </c>
    </row>
    <row r="14" spans="1:3" x14ac:dyDescent="0.25">
      <c r="A14" t="s">
        <v>245</v>
      </c>
      <c r="B14" t="s">
        <v>161</v>
      </c>
      <c r="C14">
        <v>0.38397239999999999</v>
      </c>
    </row>
    <row r="15" spans="1:3" x14ac:dyDescent="0.25">
      <c r="A15" t="s">
        <v>246</v>
      </c>
      <c r="B15" t="s">
        <v>161</v>
      </c>
      <c r="C15">
        <v>0.39395039999999998</v>
      </c>
    </row>
    <row r="16" spans="1:3" x14ac:dyDescent="0.25">
      <c r="A16" t="s">
        <v>240</v>
      </c>
      <c r="B16" t="s">
        <v>232</v>
      </c>
      <c r="C16">
        <v>0.49996970000000002</v>
      </c>
    </row>
    <row r="17" spans="1:3" x14ac:dyDescent="0.25">
      <c r="A17" t="s">
        <v>241</v>
      </c>
      <c r="B17" t="s">
        <v>232</v>
      </c>
      <c r="C17">
        <v>0.41685830000000001</v>
      </c>
    </row>
    <row r="18" spans="1:3" x14ac:dyDescent="0.25">
      <c r="A18" t="s">
        <v>242</v>
      </c>
      <c r="B18" t="s">
        <v>232</v>
      </c>
      <c r="C18">
        <v>0.32298009999999999</v>
      </c>
    </row>
    <row r="19" spans="1:3" x14ac:dyDescent="0.25">
      <c r="A19" t="s">
        <v>243</v>
      </c>
      <c r="B19" t="s">
        <v>232</v>
      </c>
      <c r="C19">
        <v>0.29504760000000002</v>
      </c>
    </row>
    <row r="20" spans="1:3" x14ac:dyDescent="0.25">
      <c r="A20" t="s">
        <v>244</v>
      </c>
      <c r="B20" t="s">
        <v>232</v>
      </c>
      <c r="C20">
        <v>0.32513170000000002</v>
      </c>
    </row>
    <row r="21" spans="1:3" x14ac:dyDescent="0.25">
      <c r="A21" t="s">
        <v>245</v>
      </c>
      <c r="B21" t="s">
        <v>232</v>
      </c>
      <c r="C21">
        <v>0.31544149999999999</v>
      </c>
    </row>
    <row r="22" spans="1:3" x14ac:dyDescent="0.25">
      <c r="A22" t="s">
        <v>246</v>
      </c>
      <c r="B22" t="s">
        <v>232</v>
      </c>
      <c r="C22">
        <v>0.37871250000000001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6"/>
  <sheetViews>
    <sheetView workbookViewId="0">
      <selection activeCell="I9" sqref="I9"/>
    </sheetView>
  </sheetViews>
  <sheetFormatPr defaultColWidth="11.42578125" defaultRowHeight="15" x14ac:dyDescent="0.25"/>
  <cols>
    <col min="1" max="3" width="11.42578125" style="169"/>
    <col min="4" max="4" width="11.42578125" style="137"/>
    <col min="7" max="7" width="11.5703125" customWidth="1"/>
  </cols>
  <sheetData>
    <row r="1" spans="1:5" x14ac:dyDescent="0.25">
      <c r="A1" s="198" t="s">
        <v>155</v>
      </c>
      <c r="B1" s="198" t="s">
        <v>104</v>
      </c>
      <c r="C1" s="198" t="s">
        <v>105</v>
      </c>
      <c r="D1" s="199" t="s">
        <v>229</v>
      </c>
      <c r="E1" s="200" t="s">
        <v>206</v>
      </c>
    </row>
    <row r="2" spans="1:5" x14ac:dyDescent="0.25">
      <c r="A2" s="201" t="s">
        <v>207</v>
      </c>
      <c r="B2" s="202" t="s">
        <v>208</v>
      </c>
      <c r="C2" s="203" t="s">
        <v>11</v>
      </c>
      <c r="D2" s="204" t="s">
        <v>209</v>
      </c>
      <c r="E2" s="205">
        <v>26301019806.761139</v>
      </c>
    </row>
    <row r="3" spans="1:5" x14ac:dyDescent="0.25">
      <c r="A3" s="201" t="s">
        <v>207</v>
      </c>
      <c r="B3" s="202" t="s">
        <v>208</v>
      </c>
      <c r="C3" s="203" t="s">
        <v>11</v>
      </c>
      <c r="D3" s="204" t="s">
        <v>210</v>
      </c>
      <c r="E3" s="205">
        <v>94545462478.361145</v>
      </c>
    </row>
    <row r="4" spans="1:5" x14ac:dyDescent="0.25">
      <c r="A4" s="201" t="s">
        <v>207</v>
      </c>
      <c r="B4" s="202" t="s">
        <v>208</v>
      </c>
      <c r="C4" s="203" t="s">
        <v>11</v>
      </c>
      <c r="D4" s="204" t="s">
        <v>211</v>
      </c>
      <c r="E4" s="205">
        <v>429222343.85057485</v>
      </c>
    </row>
    <row r="5" spans="1:5" x14ac:dyDescent="0.25">
      <c r="A5" s="201" t="s">
        <v>207</v>
      </c>
      <c r="B5" s="202" t="s">
        <v>208</v>
      </c>
      <c r="C5" s="203" t="s">
        <v>11</v>
      </c>
      <c r="D5" s="204" t="s">
        <v>209</v>
      </c>
      <c r="E5" s="205">
        <v>27236712779.957905</v>
      </c>
    </row>
    <row r="6" spans="1:5" x14ac:dyDescent="0.25">
      <c r="A6" s="201" t="s">
        <v>207</v>
      </c>
      <c r="B6" s="202" t="s">
        <v>208</v>
      </c>
      <c r="C6" s="203" t="s">
        <v>11</v>
      </c>
      <c r="D6" s="204" t="s">
        <v>210</v>
      </c>
      <c r="E6" s="205">
        <v>404742917199.79193</v>
      </c>
    </row>
    <row r="7" spans="1:5" x14ac:dyDescent="0.25">
      <c r="A7" s="201" t="s">
        <v>207</v>
      </c>
      <c r="B7" s="202" t="s">
        <v>208</v>
      </c>
      <c r="C7" s="203" t="s">
        <v>11</v>
      </c>
      <c r="D7" s="204" t="s">
        <v>211</v>
      </c>
      <c r="E7" s="205">
        <v>617977026.80631983</v>
      </c>
    </row>
    <row r="8" spans="1:5" x14ac:dyDescent="0.25">
      <c r="A8" s="201" t="s">
        <v>207</v>
      </c>
      <c r="B8" s="202" t="s">
        <v>208</v>
      </c>
      <c r="C8" s="203" t="s">
        <v>11</v>
      </c>
      <c r="D8" s="204" t="s">
        <v>209</v>
      </c>
      <c r="E8" s="205">
        <v>4804237424.6416121</v>
      </c>
    </row>
    <row r="9" spans="1:5" x14ac:dyDescent="0.25">
      <c r="A9" s="201" t="s">
        <v>207</v>
      </c>
      <c r="B9" s="202" t="s">
        <v>208</v>
      </c>
      <c r="C9" s="203" t="s">
        <v>11</v>
      </c>
      <c r="D9" s="204" t="s">
        <v>210</v>
      </c>
      <c r="E9" s="205">
        <v>468728205680.62958</v>
      </c>
    </row>
    <row r="10" spans="1:5" x14ac:dyDescent="0.25">
      <c r="A10" s="201" t="s">
        <v>207</v>
      </c>
      <c r="B10" s="202" t="s">
        <v>208</v>
      </c>
      <c r="C10" s="203" t="s">
        <v>11</v>
      </c>
      <c r="D10" s="204" t="s">
        <v>211</v>
      </c>
      <c r="E10" s="205">
        <v>718802034.36093044</v>
      </c>
    </row>
    <row r="11" spans="1:5" x14ac:dyDescent="0.25">
      <c r="A11" s="201" t="s">
        <v>207</v>
      </c>
      <c r="B11" s="202" t="s">
        <v>208</v>
      </c>
      <c r="C11" s="206" t="s">
        <v>43</v>
      </c>
      <c r="D11" s="204" t="s">
        <v>209</v>
      </c>
      <c r="E11" s="205">
        <v>15947502232.083191</v>
      </c>
    </row>
    <row r="12" spans="1:5" x14ac:dyDescent="0.25">
      <c r="A12" s="201" t="s">
        <v>207</v>
      </c>
      <c r="B12" s="202" t="s">
        <v>208</v>
      </c>
      <c r="C12" s="206" t="s">
        <v>43</v>
      </c>
      <c r="D12" s="204" t="s">
        <v>210</v>
      </c>
      <c r="E12" s="205">
        <v>661858903424.24792</v>
      </c>
    </row>
    <row r="13" spans="1:5" x14ac:dyDescent="0.25">
      <c r="A13" s="201" t="s">
        <v>207</v>
      </c>
      <c r="B13" s="202" t="s">
        <v>208</v>
      </c>
      <c r="C13" s="206" t="s">
        <v>43</v>
      </c>
      <c r="D13" s="204" t="s">
        <v>211</v>
      </c>
      <c r="E13" s="205">
        <v>11326951453.931698</v>
      </c>
    </row>
    <row r="14" spans="1:5" x14ac:dyDescent="0.25">
      <c r="A14" s="201" t="s">
        <v>207</v>
      </c>
      <c r="B14" s="202" t="s">
        <v>208</v>
      </c>
      <c r="C14" s="206" t="s">
        <v>43</v>
      </c>
      <c r="D14" s="204" t="s">
        <v>209</v>
      </c>
      <c r="E14" s="205">
        <v>23138956732.18214</v>
      </c>
    </row>
    <row r="15" spans="1:5" x14ac:dyDescent="0.25">
      <c r="A15" s="201" t="s">
        <v>207</v>
      </c>
      <c r="B15" s="202" t="s">
        <v>208</v>
      </c>
      <c r="C15" s="206" t="s">
        <v>43</v>
      </c>
      <c r="D15" s="204" t="s">
        <v>210</v>
      </c>
      <c r="E15" s="205">
        <v>283131894235.5611</v>
      </c>
    </row>
    <row r="16" spans="1:5" x14ac:dyDescent="0.25">
      <c r="A16" s="201" t="s">
        <v>207</v>
      </c>
      <c r="B16" s="202" t="s">
        <v>208</v>
      </c>
      <c r="C16" s="206" t="s">
        <v>43</v>
      </c>
      <c r="D16" s="204" t="s">
        <v>211</v>
      </c>
      <c r="E16" s="205">
        <v>114885478.07451274</v>
      </c>
    </row>
    <row r="17" spans="1:5" x14ac:dyDescent="0.25">
      <c r="A17" s="201" t="s">
        <v>207</v>
      </c>
      <c r="B17" s="202" t="s">
        <v>208</v>
      </c>
      <c r="C17" s="206" t="s">
        <v>43</v>
      </c>
      <c r="D17" s="204" t="s">
        <v>209</v>
      </c>
      <c r="E17" s="205">
        <v>18175527.10708344</v>
      </c>
    </row>
    <row r="18" spans="1:5" x14ac:dyDescent="0.25">
      <c r="A18" s="201" t="s">
        <v>207</v>
      </c>
      <c r="B18" s="202" t="s">
        <v>208</v>
      </c>
      <c r="C18" s="206" t="s">
        <v>43</v>
      </c>
      <c r="D18" s="204" t="s">
        <v>210</v>
      </c>
      <c r="E18" s="205">
        <v>5761806050.50525</v>
      </c>
    </row>
    <row r="19" spans="1:5" x14ac:dyDescent="0.25">
      <c r="A19" s="201" t="s">
        <v>207</v>
      </c>
      <c r="B19" s="202" t="s">
        <v>208</v>
      </c>
      <c r="C19" s="206" t="s">
        <v>43</v>
      </c>
      <c r="D19" s="204" t="s">
        <v>211</v>
      </c>
      <c r="E19" s="205">
        <v>217666872.98438689</v>
      </c>
    </row>
    <row r="20" spans="1:5" x14ac:dyDescent="0.25">
      <c r="A20" s="201" t="s">
        <v>207</v>
      </c>
      <c r="B20" s="207" t="s">
        <v>212</v>
      </c>
      <c r="C20" s="208" t="s">
        <v>11</v>
      </c>
      <c r="D20" s="209" t="s">
        <v>209</v>
      </c>
      <c r="E20" s="205">
        <v>5616683332.3223925</v>
      </c>
    </row>
    <row r="21" spans="1:5" x14ac:dyDescent="0.25">
      <c r="A21" s="201" t="s">
        <v>207</v>
      </c>
      <c r="B21" s="207" t="s">
        <v>212</v>
      </c>
      <c r="C21" s="208" t="s">
        <v>11</v>
      </c>
      <c r="D21" s="209" t="s">
        <v>210</v>
      </c>
      <c r="E21" s="205">
        <v>387061431990.63513</v>
      </c>
    </row>
    <row r="22" spans="1:5" x14ac:dyDescent="0.25">
      <c r="A22" s="201" t="s">
        <v>207</v>
      </c>
      <c r="B22" s="207" t="s">
        <v>212</v>
      </c>
      <c r="C22" s="208" t="s">
        <v>11</v>
      </c>
      <c r="D22" s="209" t="s">
        <v>211</v>
      </c>
      <c r="E22" s="205">
        <v>963357304.98865485</v>
      </c>
    </row>
    <row r="23" spans="1:5" x14ac:dyDescent="0.25">
      <c r="A23" s="201" t="s">
        <v>207</v>
      </c>
      <c r="B23" s="207" t="s">
        <v>212</v>
      </c>
      <c r="C23" s="208" t="s">
        <v>11</v>
      </c>
      <c r="D23" s="209" t="s">
        <v>209</v>
      </c>
      <c r="E23" s="205">
        <v>59937349055.676201</v>
      </c>
    </row>
    <row r="24" spans="1:5" x14ac:dyDescent="0.25">
      <c r="A24" s="201" t="s">
        <v>207</v>
      </c>
      <c r="B24" s="207" t="s">
        <v>212</v>
      </c>
      <c r="C24" s="208" t="s">
        <v>11</v>
      </c>
      <c r="D24" s="209" t="s">
        <v>210</v>
      </c>
      <c r="E24" s="205">
        <v>707449260700.82495</v>
      </c>
    </row>
    <row r="25" spans="1:5" x14ac:dyDescent="0.25">
      <c r="A25" s="201" t="s">
        <v>207</v>
      </c>
      <c r="B25" s="207" t="s">
        <v>212</v>
      </c>
      <c r="C25" s="208" t="s">
        <v>11</v>
      </c>
      <c r="D25" s="209" t="s">
        <v>211</v>
      </c>
      <c r="E25" s="205">
        <v>1413992691.1397171</v>
      </c>
    </row>
    <row r="26" spans="1:5" x14ac:dyDescent="0.25">
      <c r="A26" s="201" t="s">
        <v>207</v>
      </c>
      <c r="B26" s="207" t="s">
        <v>212</v>
      </c>
      <c r="C26" s="208" t="s">
        <v>11</v>
      </c>
      <c r="D26" s="209" t="s">
        <v>209</v>
      </c>
      <c r="E26" s="205">
        <v>3375141475.922379</v>
      </c>
    </row>
    <row r="27" spans="1:5" x14ac:dyDescent="0.25">
      <c r="A27" s="201" t="s">
        <v>207</v>
      </c>
      <c r="B27" s="207" t="s">
        <v>212</v>
      </c>
      <c r="C27" s="208" t="s">
        <v>11</v>
      </c>
      <c r="D27" s="209" t="s">
        <v>210</v>
      </c>
      <c r="E27" s="205">
        <v>492861844515.20593</v>
      </c>
    </row>
    <row r="28" spans="1:5" x14ac:dyDescent="0.25">
      <c r="A28" s="201" t="s">
        <v>207</v>
      </c>
      <c r="B28" s="207" t="s">
        <v>212</v>
      </c>
      <c r="C28" s="208" t="s">
        <v>11</v>
      </c>
      <c r="D28" s="209" t="s">
        <v>211</v>
      </c>
      <c r="E28" s="205">
        <v>1572066084.2413516</v>
      </c>
    </row>
    <row r="29" spans="1:5" x14ac:dyDescent="0.25">
      <c r="A29" s="201" t="s">
        <v>207</v>
      </c>
      <c r="B29" s="207" t="s">
        <v>212</v>
      </c>
      <c r="C29" s="210" t="s">
        <v>43</v>
      </c>
      <c r="D29" s="209" t="s">
        <v>209</v>
      </c>
      <c r="E29" s="205">
        <v>83029017.262199372</v>
      </c>
    </row>
    <row r="30" spans="1:5" x14ac:dyDescent="0.25">
      <c r="A30" s="201" t="s">
        <v>207</v>
      </c>
      <c r="B30" s="207" t="s">
        <v>212</v>
      </c>
      <c r="C30" s="210" t="s">
        <v>43</v>
      </c>
      <c r="D30" s="209" t="s">
        <v>210</v>
      </c>
      <c r="E30" s="205">
        <v>202477370029.48514</v>
      </c>
    </row>
    <row r="31" spans="1:5" x14ac:dyDescent="0.25">
      <c r="A31" s="201" t="s">
        <v>207</v>
      </c>
      <c r="B31" s="207" t="s">
        <v>212</v>
      </c>
      <c r="C31" s="210" t="s">
        <v>43</v>
      </c>
      <c r="D31" s="209" t="s">
        <v>211</v>
      </c>
      <c r="E31" s="205">
        <v>37271274.513438597</v>
      </c>
    </row>
    <row r="32" spans="1:5" x14ac:dyDescent="0.25">
      <c r="A32" s="201" t="s">
        <v>207</v>
      </c>
      <c r="B32" s="207" t="s">
        <v>212</v>
      </c>
      <c r="C32" s="210" t="s">
        <v>43</v>
      </c>
      <c r="D32" s="209" t="s">
        <v>209</v>
      </c>
      <c r="E32" s="205">
        <v>1551777651.2477281</v>
      </c>
    </row>
    <row r="33" spans="1:5" x14ac:dyDescent="0.25">
      <c r="A33" s="201" t="s">
        <v>207</v>
      </c>
      <c r="B33" s="207" t="s">
        <v>212</v>
      </c>
      <c r="C33" s="210" t="s">
        <v>43</v>
      </c>
      <c r="D33" s="209" t="s">
        <v>210</v>
      </c>
      <c r="E33" s="205">
        <v>225513995665.29694</v>
      </c>
    </row>
    <row r="34" spans="1:5" x14ac:dyDescent="0.25">
      <c r="A34" s="201" t="s">
        <v>207</v>
      </c>
      <c r="B34" s="207" t="s">
        <v>212</v>
      </c>
      <c r="C34" s="210" t="s">
        <v>43</v>
      </c>
      <c r="D34" s="209" t="s">
        <v>211</v>
      </c>
      <c r="E34" s="205">
        <v>114956651.20639017</v>
      </c>
    </row>
    <row r="35" spans="1:5" x14ac:dyDescent="0.25">
      <c r="A35" s="201" t="s">
        <v>207</v>
      </c>
      <c r="B35" s="207" t="s">
        <v>212</v>
      </c>
      <c r="C35" s="210" t="s">
        <v>43</v>
      </c>
      <c r="D35" s="209" t="s">
        <v>209</v>
      </c>
      <c r="E35" s="205">
        <v>268738390.48974502</v>
      </c>
    </row>
    <row r="36" spans="1:5" x14ac:dyDescent="0.25">
      <c r="A36" s="201" t="s">
        <v>207</v>
      </c>
      <c r="B36" s="207" t="s">
        <v>212</v>
      </c>
      <c r="C36" s="210" t="s">
        <v>43</v>
      </c>
      <c r="D36" s="209" t="s">
        <v>210</v>
      </c>
      <c r="E36" s="205">
        <v>66426222231.32531</v>
      </c>
    </row>
    <row r="37" spans="1:5" x14ac:dyDescent="0.25">
      <c r="A37" s="201" t="s">
        <v>207</v>
      </c>
      <c r="B37" s="207" t="s">
        <v>212</v>
      </c>
      <c r="C37" s="210" t="s">
        <v>43</v>
      </c>
      <c r="D37" s="209" t="s">
        <v>211</v>
      </c>
      <c r="E37" s="205">
        <v>420772011.0969547</v>
      </c>
    </row>
    <row r="38" spans="1:5" x14ac:dyDescent="0.25">
      <c r="A38" s="201" t="s">
        <v>207</v>
      </c>
      <c r="B38" s="211" t="s">
        <v>213</v>
      </c>
      <c r="C38" s="212" t="s">
        <v>11</v>
      </c>
      <c r="D38" s="213" t="s">
        <v>209</v>
      </c>
      <c r="E38" s="205">
        <v>5601823743.2680702</v>
      </c>
    </row>
    <row r="39" spans="1:5" x14ac:dyDescent="0.25">
      <c r="A39" s="201" t="s">
        <v>207</v>
      </c>
      <c r="B39" s="211" t="s">
        <v>213</v>
      </c>
      <c r="C39" s="212" t="s">
        <v>11</v>
      </c>
      <c r="D39" s="213" t="s">
        <v>210</v>
      </c>
      <c r="E39" s="205">
        <v>179844445581.48627</v>
      </c>
    </row>
    <row r="40" spans="1:5" x14ac:dyDescent="0.25">
      <c r="A40" s="201" t="s">
        <v>207</v>
      </c>
      <c r="B40" s="211" t="s">
        <v>213</v>
      </c>
      <c r="C40" s="212" t="s">
        <v>11</v>
      </c>
      <c r="D40" s="213" t="s">
        <v>211</v>
      </c>
      <c r="E40" s="205">
        <v>1740102226.720264</v>
      </c>
    </row>
    <row r="41" spans="1:5" x14ac:dyDescent="0.25">
      <c r="A41" s="201" t="s">
        <v>207</v>
      </c>
      <c r="B41" s="211" t="s">
        <v>213</v>
      </c>
      <c r="C41" s="212" t="s">
        <v>11</v>
      </c>
      <c r="D41" s="213" t="s">
        <v>209</v>
      </c>
      <c r="E41" s="205">
        <v>253909201.91251388</v>
      </c>
    </row>
    <row r="42" spans="1:5" x14ac:dyDescent="0.25">
      <c r="A42" s="201" t="s">
        <v>207</v>
      </c>
      <c r="B42" s="211" t="s">
        <v>213</v>
      </c>
      <c r="C42" s="212" t="s">
        <v>11</v>
      </c>
      <c r="D42" s="213" t="s">
        <v>210</v>
      </c>
      <c r="E42" s="205">
        <v>123927705171.78955</v>
      </c>
    </row>
    <row r="43" spans="1:5" x14ac:dyDescent="0.25">
      <c r="A43" s="201" t="s">
        <v>207</v>
      </c>
      <c r="B43" s="211" t="s">
        <v>213</v>
      </c>
      <c r="C43" s="212" t="s">
        <v>11</v>
      </c>
      <c r="D43" s="213" t="s">
        <v>211</v>
      </c>
      <c r="E43" s="205">
        <v>14398882826.275763</v>
      </c>
    </row>
    <row r="44" spans="1:5" x14ac:dyDescent="0.25">
      <c r="A44" s="201" t="s">
        <v>207</v>
      </c>
      <c r="B44" s="211" t="s">
        <v>213</v>
      </c>
      <c r="C44" s="212" t="s">
        <v>11</v>
      </c>
      <c r="D44" s="213" t="s">
        <v>209</v>
      </c>
      <c r="E44" s="205">
        <v>7804905280.6883068</v>
      </c>
    </row>
    <row r="45" spans="1:5" x14ac:dyDescent="0.25">
      <c r="A45" s="201" t="s">
        <v>207</v>
      </c>
      <c r="B45" s="211" t="s">
        <v>213</v>
      </c>
      <c r="C45" s="212" t="s">
        <v>11</v>
      </c>
      <c r="D45" s="213" t="s">
        <v>210</v>
      </c>
      <c r="E45" s="205">
        <v>684580664.38504887</v>
      </c>
    </row>
    <row r="46" spans="1:5" x14ac:dyDescent="0.25">
      <c r="A46" s="201" t="s">
        <v>207</v>
      </c>
      <c r="B46" s="211" t="s">
        <v>213</v>
      </c>
      <c r="C46" s="212" t="s">
        <v>11</v>
      </c>
      <c r="D46" s="213" t="s">
        <v>211</v>
      </c>
      <c r="E46" s="205">
        <v>410061743.9621923</v>
      </c>
    </row>
    <row r="47" spans="1:5" x14ac:dyDescent="0.25">
      <c r="A47" s="201" t="s">
        <v>207</v>
      </c>
      <c r="B47" s="211" t="s">
        <v>213</v>
      </c>
      <c r="C47" s="214" t="s">
        <v>43</v>
      </c>
      <c r="D47" s="213" t="s">
        <v>209</v>
      </c>
      <c r="E47" s="205">
        <v>9921097122.2586956</v>
      </c>
    </row>
    <row r="48" spans="1:5" x14ac:dyDescent="0.25">
      <c r="A48" s="201" t="s">
        <v>207</v>
      </c>
      <c r="B48" s="211" t="s">
        <v>213</v>
      </c>
      <c r="C48" s="214" t="s">
        <v>43</v>
      </c>
      <c r="D48" s="213" t="s">
        <v>210</v>
      </c>
      <c r="E48" s="205">
        <v>1149443911901.8354</v>
      </c>
    </row>
    <row r="49" spans="1:5" x14ac:dyDescent="0.25">
      <c r="A49" s="201" t="s">
        <v>207</v>
      </c>
      <c r="B49" s="211" t="s">
        <v>213</v>
      </c>
      <c r="C49" s="214" t="s">
        <v>43</v>
      </c>
      <c r="D49" s="213" t="s">
        <v>211</v>
      </c>
      <c r="E49" s="205">
        <v>1699223421.3836608</v>
      </c>
    </row>
    <row r="50" spans="1:5" x14ac:dyDescent="0.25">
      <c r="A50" s="201" t="s">
        <v>207</v>
      </c>
      <c r="B50" s="211" t="s">
        <v>213</v>
      </c>
      <c r="C50" s="214" t="s">
        <v>43</v>
      </c>
      <c r="D50" s="213" t="s">
        <v>209</v>
      </c>
      <c r="E50" s="205">
        <v>3649665727.1281352</v>
      </c>
    </row>
    <row r="51" spans="1:5" x14ac:dyDescent="0.25">
      <c r="A51" s="201" t="s">
        <v>207</v>
      </c>
      <c r="B51" s="211" t="s">
        <v>213</v>
      </c>
      <c r="C51" s="214" t="s">
        <v>43</v>
      </c>
      <c r="D51" s="213" t="s">
        <v>210</v>
      </c>
      <c r="E51" s="205">
        <v>558756843804.02454</v>
      </c>
    </row>
    <row r="52" spans="1:5" x14ac:dyDescent="0.25">
      <c r="A52" s="201" t="s">
        <v>207</v>
      </c>
      <c r="B52" s="211" t="s">
        <v>213</v>
      </c>
      <c r="C52" s="214" t="s">
        <v>43</v>
      </c>
      <c r="D52" s="213" t="s">
        <v>211</v>
      </c>
      <c r="E52" s="205">
        <v>23864248940.192051</v>
      </c>
    </row>
    <row r="53" spans="1:5" x14ac:dyDescent="0.25">
      <c r="A53" s="201" t="s">
        <v>207</v>
      </c>
      <c r="B53" s="211" t="s">
        <v>213</v>
      </c>
      <c r="C53" s="214" t="s">
        <v>43</v>
      </c>
      <c r="D53" s="213" t="s">
        <v>209</v>
      </c>
      <c r="E53" s="205">
        <v>107896299674.1344</v>
      </c>
    </row>
    <row r="54" spans="1:5" x14ac:dyDescent="0.25">
      <c r="A54" s="201" t="s">
        <v>207</v>
      </c>
      <c r="B54" s="211" t="s">
        <v>213</v>
      </c>
      <c r="C54" s="214" t="s">
        <v>43</v>
      </c>
      <c r="D54" s="213" t="s">
        <v>210</v>
      </c>
      <c r="E54" s="205">
        <v>422130402134.2226</v>
      </c>
    </row>
    <row r="55" spans="1:5" x14ac:dyDescent="0.25">
      <c r="A55" s="201" t="s">
        <v>207</v>
      </c>
      <c r="B55" s="211" t="s">
        <v>213</v>
      </c>
      <c r="C55" s="214" t="s">
        <v>43</v>
      </c>
      <c r="D55" s="213" t="s">
        <v>211</v>
      </c>
      <c r="E55" s="205">
        <v>20024340756.925209</v>
      </c>
    </row>
    <row r="56" spans="1:5" x14ac:dyDescent="0.25">
      <c r="A56" s="201" t="s">
        <v>83</v>
      </c>
      <c r="B56" s="202" t="s">
        <v>208</v>
      </c>
      <c r="C56" s="203" t="s">
        <v>11</v>
      </c>
      <c r="D56" s="204" t="s">
        <v>209</v>
      </c>
      <c r="E56" s="205">
        <v>33479409810.248619</v>
      </c>
    </row>
    <row r="57" spans="1:5" x14ac:dyDescent="0.25">
      <c r="A57" s="201" t="s">
        <v>83</v>
      </c>
      <c r="B57" s="202" t="s">
        <v>208</v>
      </c>
      <c r="C57" s="203" t="s">
        <v>11</v>
      </c>
      <c r="D57" s="204" t="s">
        <v>210</v>
      </c>
      <c r="E57" s="205">
        <v>1385363796163.8181</v>
      </c>
    </row>
    <row r="58" spans="1:5" x14ac:dyDescent="0.25">
      <c r="A58" s="201" t="s">
        <v>83</v>
      </c>
      <c r="B58" s="202" t="s">
        <v>208</v>
      </c>
      <c r="C58" s="203" t="s">
        <v>11</v>
      </c>
      <c r="D58" s="204" t="s">
        <v>211</v>
      </c>
      <c r="E58" s="205">
        <v>13325295611.806843</v>
      </c>
    </row>
    <row r="59" spans="1:5" x14ac:dyDescent="0.25">
      <c r="A59" s="201" t="s">
        <v>83</v>
      </c>
      <c r="B59" s="202" t="s">
        <v>208</v>
      </c>
      <c r="C59" s="203" t="s">
        <v>11</v>
      </c>
      <c r="D59" s="204" t="s">
        <v>209</v>
      </c>
      <c r="E59" s="205">
        <v>130873716629.5518</v>
      </c>
    </row>
    <row r="60" spans="1:5" x14ac:dyDescent="0.25">
      <c r="A60" s="201" t="s">
        <v>83</v>
      </c>
      <c r="B60" s="202" t="s">
        <v>208</v>
      </c>
      <c r="C60" s="203" t="s">
        <v>11</v>
      </c>
      <c r="D60" s="204" t="s">
        <v>210</v>
      </c>
      <c r="E60" s="205">
        <v>2412217426793.8281</v>
      </c>
    </row>
    <row r="61" spans="1:5" x14ac:dyDescent="0.25">
      <c r="A61" s="201" t="s">
        <v>83</v>
      </c>
      <c r="B61" s="202" t="s">
        <v>208</v>
      </c>
      <c r="C61" s="203" t="s">
        <v>11</v>
      </c>
      <c r="D61" s="204" t="s">
        <v>211</v>
      </c>
      <c r="E61" s="205">
        <v>1396404099.5025165</v>
      </c>
    </row>
    <row r="62" spans="1:5" x14ac:dyDescent="0.25">
      <c r="A62" s="201" t="s">
        <v>83</v>
      </c>
      <c r="B62" s="202" t="s">
        <v>208</v>
      </c>
      <c r="C62" s="203" t="s">
        <v>11</v>
      </c>
      <c r="D62" s="204" t="s">
        <v>209</v>
      </c>
      <c r="E62" s="205">
        <v>2633757128.5916548</v>
      </c>
    </row>
    <row r="63" spans="1:5" x14ac:dyDescent="0.25">
      <c r="A63" s="201" t="s">
        <v>83</v>
      </c>
      <c r="B63" s="202" t="s">
        <v>208</v>
      </c>
      <c r="C63" s="203" t="s">
        <v>11</v>
      </c>
      <c r="D63" s="204" t="s">
        <v>210</v>
      </c>
      <c r="E63" s="205">
        <v>1165067459713.9651</v>
      </c>
    </row>
    <row r="64" spans="1:5" x14ac:dyDescent="0.25">
      <c r="A64" s="201" t="s">
        <v>83</v>
      </c>
      <c r="B64" s="202" t="s">
        <v>208</v>
      </c>
      <c r="C64" s="203" t="s">
        <v>11</v>
      </c>
      <c r="D64" s="204" t="s">
        <v>211</v>
      </c>
      <c r="E64" s="205">
        <v>2152608258.1676278</v>
      </c>
    </row>
    <row r="65" spans="1:5" x14ac:dyDescent="0.25">
      <c r="A65" s="201" t="s">
        <v>83</v>
      </c>
      <c r="B65" s="202" t="s">
        <v>208</v>
      </c>
      <c r="C65" s="206" t="s">
        <v>43</v>
      </c>
      <c r="D65" s="204" t="s">
        <v>209</v>
      </c>
      <c r="E65" s="205">
        <v>132727285771.92461</v>
      </c>
    </row>
    <row r="66" spans="1:5" x14ac:dyDescent="0.25">
      <c r="A66" s="201" t="s">
        <v>83</v>
      </c>
      <c r="B66" s="202" t="s">
        <v>208</v>
      </c>
      <c r="C66" s="206" t="s">
        <v>43</v>
      </c>
      <c r="D66" s="204" t="s">
        <v>210</v>
      </c>
      <c r="E66" s="205">
        <v>7034214686287.4297</v>
      </c>
    </row>
    <row r="67" spans="1:5" x14ac:dyDescent="0.25">
      <c r="A67" s="201" t="s">
        <v>83</v>
      </c>
      <c r="B67" s="202" t="s">
        <v>208</v>
      </c>
      <c r="C67" s="206" t="s">
        <v>43</v>
      </c>
      <c r="D67" s="204" t="s">
        <v>211</v>
      </c>
      <c r="E67" s="205">
        <v>55976142708.141724</v>
      </c>
    </row>
    <row r="68" spans="1:5" x14ac:dyDescent="0.25">
      <c r="A68" s="201" t="s">
        <v>83</v>
      </c>
      <c r="B68" s="202" t="s">
        <v>208</v>
      </c>
      <c r="C68" s="206" t="s">
        <v>43</v>
      </c>
      <c r="D68" s="204" t="s">
        <v>209</v>
      </c>
      <c r="E68" s="205">
        <v>68607823974.64473</v>
      </c>
    </row>
    <row r="69" spans="1:5" x14ac:dyDescent="0.25">
      <c r="A69" s="201" t="s">
        <v>83</v>
      </c>
      <c r="B69" s="202" t="s">
        <v>208</v>
      </c>
      <c r="C69" s="206" t="s">
        <v>43</v>
      </c>
      <c r="D69" s="204" t="s">
        <v>210</v>
      </c>
      <c r="E69" s="205">
        <v>2306404078279.9351</v>
      </c>
    </row>
    <row r="70" spans="1:5" x14ac:dyDescent="0.25">
      <c r="A70" s="201" t="s">
        <v>83</v>
      </c>
      <c r="B70" s="202" t="s">
        <v>208</v>
      </c>
      <c r="C70" s="206" t="s">
        <v>43</v>
      </c>
      <c r="D70" s="204" t="s">
        <v>211</v>
      </c>
      <c r="E70" s="205">
        <v>482279423.73005348</v>
      </c>
    </row>
    <row r="71" spans="1:5" x14ac:dyDescent="0.25">
      <c r="A71" s="201" t="s">
        <v>83</v>
      </c>
      <c r="B71" s="202" t="s">
        <v>208</v>
      </c>
      <c r="C71" s="206" t="s">
        <v>43</v>
      </c>
      <c r="D71" s="204" t="s">
        <v>209</v>
      </c>
      <c r="E71" s="205">
        <v>33605606.450472623</v>
      </c>
    </row>
    <row r="72" spans="1:5" x14ac:dyDescent="0.25">
      <c r="A72" s="201" t="s">
        <v>83</v>
      </c>
      <c r="B72" s="202" t="s">
        <v>208</v>
      </c>
      <c r="C72" s="206" t="s">
        <v>43</v>
      </c>
      <c r="D72" s="204" t="s">
        <v>210</v>
      </c>
      <c r="E72" s="205">
        <v>8582869799.0893307</v>
      </c>
    </row>
    <row r="73" spans="1:5" x14ac:dyDescent="0.25">
      <c r="A73" s="201" t="s">
        <v>83</v>
      </c>
      <c r="B73" s="202" t="s">
        <v>208</v>
      </c>
      <c r="C73" s="206" t="s">
        <v>43</v>
      </c>
      <c r="D73" s="204" t="s">
        <v>211</v>
      </c>
      <c r="E73" s="205">
        <v>576453374.29542077</v>
      </c>
    </row>
    <row r="74" spans="1:5" x14ac:dyDescent="0.25">
      <c r="A74" s="201" t="s">
        <v>83</v>
      </c>
      <c r="B74" s="207" t="s">
        <v>212</v>
      </c>
      <c r="C74" s="208" t="s">
        <v>11</v>
      </c>
      <c r="D74" s="209" t="s">
        <v>209</v>
      </c>
      <c r="E74" s="205">
        <v>5872013119.3615761</v>
      </c>
    </row>
    <row r="75" spans="1:5" x14ac:dyDescent="0.25">
      <c r="A75" s="201" t="s">
        <v>83</v>
      </c>
      <c r="B75" s="207" t="s">
        <v>212</v>
      </c>
      <c r="C75" s="208" t="s">
        <v>11</v>
      </c>
      <c r="D75" s="209" t="s">
        <v>210</v>
      </c>
      <c r="E75" s="205">
        <v>2714650054560.4727</v>
      </c>
    </row>
    <row r="76" spans="1:5" x14ac:dyDescent="0.25">
      <c r="A76" s="201" t="s">
        <v>83</v>
      </c>
      <c r="B76" s="207" t="s">
        <v>212</v>
      </c>
      <c r="C76" s="208" t="s">
        <v>11</v>
      </c>
      <c r="D76" s="209" t="s">
        <v>211</v>
      </c>
      <c r="E76" s="205">
        <v>3379142135.3919168</v>
      </c>
    </row>
    <row r="77" spans="1:5" x14ac:dyDescent="0.25">
      <c r="A77" s="201" t="s">
        <v>83</v>
      </c>
      <c r="B77" s="207" t="s">
        <v>212</v>
      </c>
      <c r="C77" s="208" t="s">
        <v>11</v>
      </c>
      <c r="D77" s="209" t="s">
        <v>209</v>
      </c>
      <c r="E77" s="205">
        <v>150049618816.12704</v>
      </c>
    </row>
    <row r="78" spans="1:5" x14ac:dyDescent="0.25">
      <c r="A78" s="201" t="s">
        <v>83</v>
      </c>
      <c r="B78" s="207" t="s">
        <v>212</v>
      </c>
      <c r="C78" s="208" t="s">
        <v>11</v>
      </c>
      <c r="D78" s="209" t="s">
        <v>210</v>
      </c>
      <c r="E78" s="205">
        <v>6225858749806.8135</v>
      </c>
    </row>
    <row r="79" spans="1:5" x14ac:dyDescent="0.25">
      <c r="A79" s="201" t="s">
        <v>83</v>
      </c>
      <c r="B79" s="207" t="s">
        <v>212</v>
      </c>
      <c r="C79" s="208" t="s">
        <v>11</v>
      </c>
      <c r="D79" s="209" t="s">
        <v>211</v>
      </c>
      <c r="E79" s="205">
        <v>3013018102.1118193</v>
      </c>
    </row>
    <row r="80" spans="1:5" x14ac:dyDescent="0.25">
      <c r="A80" s="201" t="s">
        <v>83</v>
      </c>
      <c r="B80" s="207" t="s">
        <v>212</v>
      </c>
      <c r="C80" s="208" t="s">
        <v>11</v>
      </c>
      <c r="D80" s="209" t="s">
        <v>209</v>
      </c>
      <c r="E80" s="205">
        <v>21652206824.512268</v>
      </c>
    </row>
    <row r="81" spans="1:5" x14ac:dyDescent="0.25">
      <c r="A81" s="201" t="s">
        <v>83</v>
      </c>
      <c r="B81" s="207" t="s">
        <v>212</v>
      </c>
      <c r="C81" s="208" t="s">
        <v>11</v>
      </c>
      <c r="D81" s="209" t="s">
        <v>210</v>
      </c>
      <c r="E81" s="205">
        <v>4032032220824.7104</v>
      </c>
    </row>
    <row r="82" spans="1:5" x14ac:dyDescent="0.25">
      <c r="A82" s="201" t="s">
        <v>83</v>
      </c>
      <c r="B82" s="207" t="s">
        <v>212</v>
      </c>
      <c r="C82" s="208" t="s">
        <v>11</v>
      </c>
      <c r="D82" s="209" t="s">
        <v>211</v>
      </c>
      <c r="E82" s="205">
        <v>5989269079.8817854</v>
      </c>
    </row>
    <row r="83" spans="1:5" x14ac:dyDescent="0.25">
      <c r="A83" s="201" t="s">
        <v>83</v>
      </c>
      <c r="B83" s="207" t="s">
        <v>212</v>
      </c>
      <c r="C83" s="210" t="s">
        <v>43</v>
      </c>
      <c r="D83" s="209" t="s">
        <v>209</v>
      </c>
      <c r="E83" s="205">
        <v>149142560.4265117</v>
      </c>
    </row>
    <row r="84" spans="1:5" x14ac:dyDescent="0.25">
      <c r="A84" s="201" t="s">
        <v>83</v>
      </c>
      <c r="B84" s="207" t="s">
        <v>212</v>
      </c>
      <c r="C84" s="210" t="s">
        <v>43</v>
      </c>
      <c r="D84" s="209" t="s">
        <v>210</v>
      </c>
      <c r="E84" s="205">
        <v>821985315849.30981</v>
      </c>
    </row>
    <row r="85" spans="1:5" x14ac:dyDescent="0.25">
      <c r="A85" s="201" t="s">
        <v>83</v>
      </c>
      <c r="B85" s="207" t="s">
        <v>212</v>
      </c>
      <c r="C85" s="210" t="s">
        <v>43</v>
      </c>
      <c r="D85" s="209" t="s">
        <v>211</v>
      </c>
      <c r="E85" s="205">
        <v>57373062.195208333</v>
      </c>
    </row>
    <row r="86" spans="1:5" x14ac:dyDescent="0.25">
      <c r="A86" s="201" t="s">
        <v>83</v>
      </c>
      <c r="B86" s="207" t="s">
        <v>212</v>
      </c>
      <c r="C86" s="210" t="s">
        <v>43</v>
      </c>
      <c r="D86" s="209" t="s">
        <v>209</v>
      </c>
      <c r="E86" s="205">
        <v>17197538875.227798</v>
      </c>
    </row>
    <row r="87" spans="1:5" x14ac:dyDescent="0.25">
      <c r="A87" s="201" t="s">
        <v>83</v>
      </c>
      <c r="B87" s="207" t="s">
        <v>212</v>
      </c>
      <c r="C87" s="210" t="s">
        <v>43</v>
      </c>
      <c r="D87" s="209" t="s">
        <v>210</v>
      </c>
      <c r="E87" s="205">
        <v>348391740912.92279</v>
      </c>
    </row>
    <row r="88" spans="1:5" x14ac:dyDescent="0.25">
      <c r="A88" s="201" t="s">
        <v>83</v>
      </c>
      <c r="B88" s="207" t="s">
        <v>212</v>
      </c>
      <c r="C88" s="210" t="s">
        <v>43</v>
      </c>
      <c r="D88" s="209" t="s">
        <v>211</v>
      </c>
      <c r="E88" s="205">
        <v>255448321.19933423</v>
      </c>
    </row>
    <row r="89" spans="1:5" x14ac:dyDescent="0.25">
      <c r="A89" s="201" t="s">
        <v>83</v>
      </c>
      <c r="B89" s="207" t="s">
        <v>212</v>
      </c>
      <c r="C89" s="210" t="s">
        <v>43</v>
      </c>
      <c r="D89" s="209" t="s">
        <v>209</v>
      </c>
      <c r="E89" s="205">
        <v>277782031.42840093</v>
      </c>
    </row>
    <row r="90" spans="1:5" x14ac:dyDescent="0.25">
      <c r="A90" s="201" t="s">
        <v>83</v>
      </c>
      <c r="B90" s="207" t="s">
        <v>212</v>
      </c>
      <c r="C90" s="210" t="s">
        <v>43</v>
      </c>
      <c r="D90" s="209" t="s">
        <v>210</v>
      </c>
      <c r="E90" s="205">
        <v>581800610684.50635</v>
      </c>
    </row>
    <row r="91" spans="1:5" x14ac:dyDescent="0.25">
      <c r="A91" s="201" t="s">
        <v>83</v>
      </c>
      <c r="B91" s="207" t="s">
        <v>212</v>
      </c>
      <c r="C91" s="210" t="s">
        <v>43</v>
      </c>
      <c r="D91" s="209" t="s">
        <v>211</v>
      </c>
      <c r="E91" s="205">
        <v>2327306336.5326581</v>
      </c>
    </row>
    <row r="92" spans="1:5" x14ac:dyDescent="0.25">
      <c r="A92" s="201" t="s">
        <v>83</v>
      </c>
      <c r="B92" s="211" t="s">
        <v>213</v>
      </c>
      <c r="C92" s="212" t="s">
        <v>11</v>
      </c>
      <c r="D92" s="213" t="s">
        <v>209</v>
      </c>
      <c r="E92" s="205">
        <v>25105372432.435081</v>
      </c>
    </row>
    <row r="93" spans="1:5" x14ac:dyDescent="0.25">
      <c r="A93" s="201" t="s">
        <v>83</v>
      </c>
      <c r="B93" s="211" t="s">
        <v>213</v>
      </c>
      <c r="C93" s="212" t="s">
        <v>11</v>
      </c>
      <c r="D93" s="213" t="s">
        <v>210</v>
      </c>
      <c r="E93" s="205">
        <v>108825620423.19646</v>
      </c>
    </row>
    <row r="94" spans="1:5" x14ac:dyDescent="0.25">
      <c r="A94" s="201" t="s">
        <v>83</v>
      </c>
      <c r="B94" s="211" t="s">
        <v>213</v>
      </c>
      <c r="C94" s="212" t="s">
        <v>11</v>
      </c>
      <c r="D94" s="213" t="s">
        <v>211</v>
      </c>
      <c r="E94" s="205">
        <v>2352289200.4490566</v>
      </c>
    </row>
    <row r="95" spans="1:5" x14ac:dyDescent="0.25">
      <c r="A95" s="201" t="s">
        <v>83</v>
      </c>
      <c r="B95" s="211" t="s">
        <v>213</v>
      </c>
      <c r="C95" s="212" t="s">
        <v>11</v>
      </c>
      <c r="D95" s="213" t="s">
        <v>209</v>
      </c>
      <c r="E95" s="205">
        <v>103100378496.201</v>
      </c>
    </row>
    <row r="96" spans="1:5" x14ac:dyDescent="0.25">
      <c r="A96" s="201" t="s">
        <v>83</v>
      </c>
      <c r="B96" s="211" t="s">
        <v>213</v>
      </c>
      <c r="C96" s="212" t="s">
        <v>11</v>
      </c>
      <c r="D96" s="213" t="s">
        <v>210</v>
      </c>
      <c r="E96" s="205">
        <v>2392605895302.3091</v>
      </c>
    </row>
    <row r="97" spans="1:5" x14ac:dyDescent="0.25">
      <c r="A97" s="201" t="s">
        <v>83</v>
      </c>
      <c r="B97" s="211" t="s">
        <v>213</v>
      </c>
      <c r="C97" s="212" t="s">
        <v>11</v>
      </c>
      <c r="D97" s="213" t="s">
        <v>211</v>
      </c>
      <c r="E97" s="205">
        <v>165432169.18481305</v>
      </c>
    </row>
    <row r="98" spans="1:5" x14ac:dyDescent="0.25">
      <c r="A98" s="201" t="s">
        <v>83</v>
      </c>
      <c r="B98" s="211" t="s">
        <v>213</v>
      </c>
      <c r="C98" s="212" t="s">
        <v>11</v>
      </c>
      <c r="D98" s="213" t="s">
        <v>209</v>
      </c>
      <c r="E98" s="205">
        <v>45503647400.679008</v>
      </c>
    </row>
    <row r="99" spans="1:5" x14ac:dyDescent="0.25">
      <c r="A99" s="201" t="s">
        <v>83</v>
      </c>
      <c r="B99" s="211" t="s">
        <v>213</v>
      </c>
      <c r="C99" s="212" t="s">
        <v>11</v>
      </c>
      <c r="D99" s="213" t="s">
        <v>210</v>
      </c>
      <c r="E99" s="205">
        <v>4262103378.8899636</v>
      </c>
    </row>
    <row r="100" spans="1:5" x14ac:dyDescent="0.25">
      <c r="A100" s="201" t="s">
        <v>83</v>
      </c>
      <c r="B100" s="211" t="s">
        <v>213</v>
      </c>
      <c r="C100" s="212" t="s">
        <v>11</v>
      </c>
      <c r="D100" s="213" t="s">
        <v>211</v>
      </c>
      <c r="E100" s="205">
        <v>2300655661.9347653</v>
      </c>
    </row>
    <row r="101" spans="1:5" x14ac:dyDescent="0.25">
      <c r="A101" s="201" t="s">
        <v>83</v>
      </c>
      <c r="B101" s="211" t="s">
        <v>213</v>
      </c>
      <c r="C101" s="214" t="s">
        <v>43</v>
      </c>
      <c r="D101" s="213" t="s">
        <v>209</v>
      </c>
      <c r="E101" s="205">
        <v>13489926523.284576</v>
      </c>
    </row>
    <row r="102" spans="1:5" x14ac:dyDescent="0.25">
      <c r="A102" s="201" t="s">
        <v>83</v>
      </c>
      <c r="B102" s="211" t="s">
        <v>213</v>
      </c>
      <c r="C102" s="214" t="s">
        <v>43</v>
      </c>
      <c r="D102" s="213" t="s">
        <v>210</v>
      </c>
      <c r="E102" s="205">
        <v>2782239447444.8535</v>
      </c>
    </row>
    <row r="103" spans="1:5" x14ac:dyDescent="0.25">
      <c r="A103" s="201" t="s">
        <v>83</v>
      </c>
      <c r="B103" s="211" t="s">
        <v>213</v>
      </c>
      <c r="C103" s="214" t="s">
        <v>43</v>
      </c>
      <c r="D103" s="213" t="s">
        <v>211</v>
      </c>
      <c r="E103" s="205">
        <v>8215294479.9924078</v>
      </c>
    </row>
    <row r="104" spans="1:5" x14ac:dyDescent="0.25">
      <c r="A104" s="201" t="s">
        <v>83</v>
      </c>
      <c r="B104" s="211" t="s">
        <v>213</v>
      </c>
      <c r="C104" s="214" t="s">
        <v>43</v>
      </c>
      <c r="D104" s="213" t="s">
        <v>209</v>
      </c>
      <c r="E104" s="205">
        <v>29771705459.455517</v>
      </c>
    </row>
    <row r="105" spans="1:5" x14ac:dyDescent="0.25">
      <c r="A105" s="201" t="s">
        <v>83</v>
      </c>
      <c r="B105" s="211" t="s">
        <v>213</v>
      </c>
      <c r="C105" s="214" t="s">
        <v>43</v>
      </c>
      <c r="D105" s="213" t="s">
        <v>210</v>
      </c>
      <c r="E105" s="205">
        <v>3992007018158.0459</v>
      </c>
    </row>
    <row r="106" spans="1:5" x14ac:dyDescent="0.25">
      <c r="A106" s="201" t="s">
        <v>83</v>
      </c>
      <c r="B106" s="211" t="s">
        <v>213</v>
      </c>
      <c r="C106" s="214" t="s">
        <v>43</v>
      </c>
      <c r="D106" s="213" t="s">
        <v>211</v>
      </c>
      <c r="E106" s="205">
        <v>161335395560.81531</v>
      </c>
    </row>
    <row r="107" spans="1:5" x14ac:dyDescent="0.25">
      <c r="A107" s="201" t="s">
        <v>83</v>
      </c>
      <c r="B107" s="211" t="s">
        <v>213</v>
      </c>
      <c r="C107" s="214" t="s">
        <v>43</v>
      </c>
      <c r="D107" s="213" t="s">
        <v>209</v>
      </c>
      <c r="E107" s="205">
        <v>895356886281.9823</v>
      </c>
    </row>
    <row r="108" spans="1:5" x14ac:dyDescent="0.25">
      <c r="A108" s="201" t="s">
        <v>83</v>
      </c>
      <c r="B108" s="211" t="s">
        <v>213</v>
      </c>
      <c r="C108" s="214" t="s">
        <v>43</v>
      </c>
      <c r="D108" s="213" t="s">
        <v>210</v>
      </c>
      <c r="E108" s="205">
        <v>6931348120364.2939</v>
      </c>
    </row>
    <row r="109" spans="1:5" x14ac:dyDescent="0.25">
      <c r="A109" s="201" t="s">
        <v>83</v>
      </c>
      <c r="B109" s="211" t="s">
        <v>213</v>
      </c>
      <c r="C109" s="214" t="s">
        <v>43</v>
      </c>
      <c r="D109" s="213" t="s">
        <v>211</v>
      </c>
      <c r="E109" s="205">
        <v>93356177296.385025</v>
      </c>
    </row>
    <row r="110" spans="1:5" x14ac:dyDescent="0.25">
      <c r="A110" s="201" t="s">
        <v>91</v>
      </c>
      <c r="B110" s="202" t="s">
        <v>208</v>
      </c>
      <c r="C110" s="203" t="s">
        <v>11</v>
      </c>
      <c r="D110" s="204" t="s">
        <v>209</v>
      </c>
      <c r="E110" s="205">
        <v>1200856942.4561687</v>
      </c>
    </row>
    <row r="111" spans="1:5" x14ac:dyDescent="0.25">
      <c r="A111" s="201" t="s">
        <v>91</v>
      </c>
      <c r="B111" s="202" t="s">
        <v>208</v>
      </c>
      <c r="C111" s="203" t="s">
        <v>11</v>
      </c>
      <c r="D111" s="204" t="s">
        <v>210</v>
      </c>
      <c r="E111" s="205">
        <v>78954618.774388611</v>
      </c>
    </row>
    <row r="112" spans="1:5" x14ac:dyDescent="0.25">
      <c r="A112" s="201" t="s">
        <v>91</v>
      </c>
      <c r="B112" s="202" t="s">
        <v>208</v>
      </c>
      <c r="C112" s="203" t="s">
        <v>11</v>
      </c>
      <c r="D112" s="204" t="s">
        <v>211</v>
      </c>
      <c r="E112" s="205">
        <v>18965924163.215797</v>
      </c>
    </row>
    <row r="113" spans="1:5" x14ac:dyDescent="0.25">
      <c r="A113" s="201" t="s">
        <v>91</v>
      </c>
      <c r="B113" s="202" t="s">
        <v>208</v>
      </c>
      <c r="C113" s="203" t="s">
        <v>11</v>
      </c>
      <c r="D113" s="204" t="s">
        <v>209</v>
      </c>
      <c r="E113" s="205">
        <v>386098443.27101195</v>
      </c>
    </row>
    <row r="114" spans="1:5" x14ac:dyDescent="0.25">
      <c r="A114" s="201" t="s">
        <v>91</v>
      </c>
      <c r="B114" s="202" t="s">
        <v>208</v>
      </c>
      <c r="C114" s="203" t="s">
        <v>11</v>
      </c>
      <c r="D114" s="204" t="s">
        <v>210</v>
      </c>
      <c r="E114" s="205">
        <v>38840317.562234074</v>
      </c>
    </row>
    <row r="115" spans="1:5" x14ac:dyDescent="0.25">
      <c r="A115" s="201" t="s">
        <v>91</v>
      </c>
      <c r="B115" s="202" t="s">
        <v>208</v>
      </c>
      <c r="C115" s="203" t="s">
        <v>11</v>
      </c>
      <c r="D115" s="204" t="s">
        <v>211</v>
      </c>
      <c r="E115" s="205">
        <v>36154624738.626892</v>
      </c>
    </row>
    <row r="116" spans="1:5" x14ac:dyDescent="0.25">
      <c r="A116" s="201" t="s">
        <v>91</v>
      </c>
      <c r="B116" s="202" t="s">
        <v>208</v>
      </c>
      <c r="C116" s="203" t="s">
        <v>11</v>
      </c>
      <c r="D116" s="204" t="s">
        <v>209</v>
      </c>
      <c r="E116" s="205">
        <v>26037116378.352795</v>
      </c>
    </row>
    <row r="117" spans="1:5" x14ac:dyDescent="0.25">
      <c r="A117" s="201" t="s">
        <v>91</v>
      </c>
      <c r="B117" s="202" t="s">
        <v>208</v>
      </c>
      <c r="C117" s="203" t="s">
        <v>11</v>
      </c>
      <c r="D117" s="204" t="s">
        <v>210</v>
      </c>
      <c r="E117" s="205">
        <v>109923310.91872662</v>
      </c>
    </row>
    <row r="118" spans="1:5" x14ac:dyDescent="0.25">
      <c r="A118" s="201" t="s">
        <v>91</v>
      </c>
      <c r="B118" s="202" t="s">
        <v>208</v>
      </c>
      <c r="C118" s="203" t="s">
        <v>11</v>
      </c>
      <c r="D118" s="204" t="s">
        <v>211</v>
      </c>
      <c r="E118" s="205">
        <v>35799012891.460678</v>
      </c>
    </row>
    <row r="119" spans="1:5" x14ac:dyDescent="0.25">
      <c r="A119" s="201" t="s">
        <v>91</v>
      </c>
      <c r="B119" s="202" t="s">
        <v>208</v>
      </c>
      <c r="C119" s="206" t="s">
        <v>43</v>
      </c>
      <c r="D119" s="204" t="s">
        <v>209</v>
      </c>
      <c r="E119" s="205">
        <v>197505501.73507965</v>
      </c>
    </row>
    <row r="120" spans="1:5" x14ac:dyDescent="0.25">
      <c r="A120" s="201" t="s">
        <v>91</v>
      </c>
      <c r="B120" s="202" t="s">
        <v>208</v>
      </c>
      <c r="C120" s="206" t="s">
        <v>43</v>
      </c>
      <c r="D120" s="204" t="s">
        <v>210</v>
      </c>
      <c r="E120" s="205">
        <v>23976158.308924288</v>
      </c>
    </row>
    <row r="121" spans="1:5" x14ac:dyDescent="0.25">
      <c r="A121" s="201" t="s">
        <v>91</v>
      </c>
      <c r="B121" s="202" t="s">
        <v>208</v>
      </c>
      <c r="C121" s="206" t="s">
        <v>43</v>
      </c>
      <c r="D121" s="204" t="s">
        <v>211</v>
      </c>
      <c r="E121" s="205">
        <v>1713687479.5330102</v>
      </c>
    </row>
    <row r="122" spans="1:5" x14ac:dyDescent="0.25">
      <c r="A122" s="201" t="s">
        <v>91</v>
      </c>
      <c r="B122" s="202" t="s">
        <v>208</v>
      </c>
      <c r="C122" s="206" t="s">
        <v>43</v>
      </c>
      <c r="D122" s="204" t="s">
        <v>209</v>
      </c>
      <c r="E122" s="205">
        <v>270725745.89764249</v>
      </c>
    </row>
    <row r="123" spans="1:5" x14ac:dyDescent="0.25">
      <c r="A123" s="201" t="s">
        <v>91</v>
      </c>
      <c r="B123" s="202" t="s">
        <v>208</v>
      </c>
      <c r="C123" s="206" t="s">
        <v>43</v>
      </c>
      <c r="D123" s="204" t="s">
        <v>210</v>
      </c>
      <c r="E123" s="205">
        <v>35840749.08495824</v>
      </c>
    </row>
    <row r="124" spans="1:5" x14ac:dyDescent="0.25">
      <c r="A124" s="201" t="s">
        <v>91</v>
      </c>
      <c r="B124" s="202" t="s">
        <v>208</v>
      </c>
      <c r="C124" s="206" t="s">
        <v>43</v>
      </c>
      <c r="D124" s="204" t="s">
        <v>211</v>
      </c>
      <c r="E124" s="205">
        <v>73446216639.192566</v>
      </c>
    </row>
    <row r="125" spans="1:5" x14ac:dyDescent="0.25">
      <c r="A125" s="201" t="s">
        <v>91</v>
      </c>
      <c r="B125" s="202" t="s">
        <v>208</v>
      </c>
      <c r="C125" s="206" t="s">
        <v>43</v>
      </c>
      <c r="D125" s="204" t="s">
        <v>209</v>
      </c>
      <c r="E125" s="205">
        <v>708357685401.48071</v>
      </c>
    </row>
    <row r="126" spans="1:5" x14ac:dyDescent="0.25">
      <c r="A126" s="201" t="s">
        <v>91</v>
      </c>
      <c r="B126" s="202" t="s">
        <v>208</v>
      </c>
      <c r="C126" s="206" t="s">
        <v>43</v>
      </c>
      <c r="D126" s="204" t="s">
        <v>210</v>
      </c>
      <c r="E126" s="205">
        <v>23046486567.588665</v>
      </c>
    </row>
    <row r="127" spans="1:5" x14ac:dyDescent="0.25">
      <c r="A127" s="201" t="s">
        <v>91</v>
      </c>
      <c r="B127" s="202" t="s">
        <v>208</v>
      </c>
      <c r="C127" s="206" t="s">
        <v>43</v>
      </c>
      <c r="D127" s="204" t="s">
        <v>211</v>
      </c>
      <c r="E127" s="205">
        <v>177619856800.66254</v>
      </c>
    </row>
    <row r="128" spans="1:5" x14ac:dyDescent="0.25">
      <c r="A128" s="201" t="s">
        <v>91</v>
      </c>
      <c r="B128" s="207" t="s">
        <v>212</v>
      </c>
      <c r="C128" s="208" t="s">
        <v>11</v>
      </c>
      <c r="D128" s="209" t="s">
        <v>209</v>
      </c>
      <c r="E128" s="205">
        <v>10970171621.81547</v>
      </c>
    </row>
    <row r="129" spans="1:5" x14ac:dyDescent="0.25">
      <c r="A129" s="201" t="s">
        <v>91</v>
      </c>
      <c r="B129" s="207" t="s">
        <v>212</v>
      </c>
      <c r="C129" s="208" t="s">
        <v>11</v>
      </c>
      <c r="D129" s="209" t="s">
        <v>210</v>
      </c>
      <c r="E129" s="205">
        <v>29123944.357826807</v>
      </c>
    </row>
    <row r="130" spans="1:5" x14ac:dyDescent="0.25">
      <c r="A130" s="201" t="s">
        <v>91</v>
      </c>
      <c r="B130" s="207" t="s">
        <v>212</v>
      </c>
      <c r="C130" s="208" t="s">
        <v>11</v>
      </c>
      <c r="D130" s="209" t="s">
        <v>211</v>
      </c>
      <c r="E130" s="205">
        <v>22562324562.521751</v>
      </c>
    </row>
    <row r="131" spans="1:5" x14ac:dyDescent="0.25">
      <c r="A131" s="201" t="s">
        <v>91</v>
      </c>
      <c r="B131" s="207" t="s">
        <v>212</v>
      </c>
      <c r="C131" s="208" t="s">
        <v>11</v>
      </c>
      <c r="D131" s="209" t="s">
        <v>209</v>
      </c>
      <c r="E131" s="205">
        <v>336702555.1846379</v>
      </c>
    </row>
    <row r="132" spans="1:5" x14ac:dyDescent="0.25">
      <c r="A132" s="201" t="s">
        <v>91</v>
      </c>
      <c r="B132" s="207" t="s">
        <v>212</v>
      </c>
      <c r="C132" s="208" t="s">
        <v>11</v>
      </c>
      <c r="D132" s="209" t="s">
        <v>210</v>
      </c>
      <c r="E132" s="205">
        <v>19471396.906601258</v>
      </c>
    </row>
    <row r="133" spans="1:5" x14ac:dyDescent="0.25">
      <c r="A133" s="201" t="s">
        <v>91</v>
      </c>
      <c r="B133" s="207" t="s">
        <v>212</v>
      </c>
      <c r="C133" s="208" t="s">
        <v>11</v>
      </c>
      <c r="D133" s="209" t="s">
        <v>211</v>
      </c>
      <c r="E133" s="205">
        <v>12407044636.705084</v>
      </c>
    </row>
    <row r="134" spans="1:5" x14ac:dyDescent="0.25">
      <c r="A134" s="201" t="s">
        <v>91</v>
      </c>
      <c r="B134" s="207" t="s">
        <v>212</v>
      </c>
      <c r="C134" s="208" t="s">
        <v>11</v>
      </c>
      <c r="D134" s="209" t="s">
        <v>209</v>
      </c>
      <c r="E134" s="205">
        <v>1477825345.7895548</v>
      </c>
    </row>
    <row r="135" spans="1:5" x14ac:dyDescent="0.25">
      <c r="A135" s="201" t="s">
        <v>91</v>
      </c>
      <c r="B135" s="207" t="s">
        <v>212</v>
      </c>
      <c r="C135" s="208" t="s">
        <v>11</v>
      </c>
      <c r="D135" s="209" t="s">
        <v>210</v>
      </c>
      <c r="E135" s="205">
        <v>27898277.49725724</v>
      </c>
    </row>
    <row r="136" spans="1:5" x14ac:dyDescent="0.25">
      <c r="A136" s="201" t="s">
        <v>91</v>
      </c>
      <c r="B136" s="207" t="s">
        <v>212</v>
      </c>
      <c r="C136" s="208" t="s">
        <v>11</v>
      </c>
      <c r="D136" s="209" t="s">
        <v>211</v>
      </c>
      <c r="E136" s="205">
        <v>6611568147.3460131</v>
      </c>
    </row>
    <row r="137" spans="1:5" x14ac:dyDescent="0.25">
      <c r="A137" s="201" t="s">
        <v>91</v>
      </c>
      <c r="B137" s="207" t="s">
        <v>212</v>
      </c>
      <c r="C137" s="210" t="s">
        <v>43</v>
      </c>
      <c r="D137" s="209" t="s">
        <v>209</v>
      </c>
      <c r="E137" s="205">
        <v>219070683915.81842</v>
      </c>
    </row>
    <row r="138" spans="1:5" x14ac:dyDescent="0.25">
      <c r="A138" s="201" t="s">
        <v>91</v>
      </c>
      <c r="B138" s="207" t="s">
        <v>212</v>
      </c>
      <c r="C138" s="210" t="s">
        <v>43</v>
      </c>
      <c r="D138" s="209" t="s">
        <v>210</v>
      </c>
      <c r="E138" s="205">
        <v>139423762.05346608</v>
      </c>
    </row>
    <row r="139" spans="1:5" x14ac:dyDescent="0.25">
      <c r="A139" s="201" t="s">
        <v>91</v>
      </c>
      <c r="B139" s="207" t="s">
        <v>212</v>
      </c>
      <c r="C139" s="210" t="s">
        <v>43</v>
      </c>
      <c r="D139" s="209" t="s">
        <v>211</v>
      </c>
      <c r="E139" s="205">
        <v>606779595393.51294</v>
      </c>
    </row>
    <row r="140" spans="1:5" x14ac:dyDescent="0.25">
      <c r="A140" s="201" t="s">
        <v>91</v>
      </c>
      <c r="B140" s="207" t="s">
        <v>212</v>
      </c>
      <c r="C140" s="210" t="s">
        <v>43</v>
      </c>
      <c r="D140" s="209" t="s">
        <v>209</v>
      </c>
      <c r="E140" s="205">
        <v>2009845507.6026804</v>
      </c>
    </row>
    <row r="141" spans="1:5" x14ac:dyDescent="0.25">
      <c r="A141" s="201" t="s">
        <v>91</v>
      </c>
      <c r="B141" s="207" t="s">
        <v>212</v>
      </c>
      <c r="C141" s="210" t="s">
        <v>43</v>
      </c>
      <c r="D141" s="209" t="s">
        <v>210</v>
      </c>
      <c r="E141" s="205">
        <v>277710354.74938631</v>
      </c>
    </row>
    <row r="142" spans="1:5" x14ac:dyDescent="0.25">
      <c r="A142" s="201" t="s">
        <v>91</v>
      </c>
      <c r="B142" s="207" t="s">
        <v>212</v>
      </c>
      <c r="C142" s="210" t="s">
        <v>43</v>
      </c>
      <c r="D142" s="209" t="s">
        <v>211</v>
      </c>
      <c r="E142" s="205">
        <v>379013344221.89526</v>
      </c>
    </row>
    <row r="143" spans="1:5" x14ac:dyDescent="0.25">
      <c r="A143" s="201" t="s">
        <v>91</v>
      </c>
      <c r="B143" s="207" t="s">
        <v>212</v>
      </c>
      <c r="C143" s="210" t="s">
        <v>43</v>
      </c>
      <c r="D143" s="209" t="s">
        <v>209</v>
      </c>
      <c r="E143" s="205">
        <v>63465639996.604187</v>
      </c>
    </row>
    <row r="144" spans="1:5" x14ac:dyDescent="0.25">
      <c r="A144" s="201" t="s">
        <v>91</v>
      </c>
      <c r="B144" s="207" t="s">
        <v>212</v>
      </c>
      <c r="C144" s="210" t="s">
        <v>43</v>
      </c>
      <c r="D144" s="209" t="s">
        <v>210</v>
      </c>
      <c r="E144" s="205">
        <v>115699883.59153335</v>
      </c>
    </row>
    <row r="145" spans="1:5" x14ac:dyDescent="0.25">
      <c r="A145" s="201" t="s">
        <v>91</v>
      </c>
      <c r="B145" s="207" t="s">
        <v>212</v>
      </c>
      <c r="C145" s="210" t="s">
        <v>43</v>
      </c>
      <c r="D145" s="209" t="s">
        <v>211</v>
      </c>
      <c r="E145" s="205">
        <v>17188509267.139145</v>
      </c>
    </row>
    <row r="146" spans="1:5" x14ac:dyDescent="0.25">
      <c r="A146" s="201" t="s">
        <v>91</v>
      </c>
      <c r="B146" s="211" t="s">
        <v>213</v>
      </c>
      <c r="C146" s="212" t="s">
        <v>11</v>
      </c>
      <c r="D146" s="213" t="s">
        <v>209</v>
      </c>
      <c r="E146" s="205">
        <v>987346319.03255427</v>
      </c>
    </row>
    <row r="147" spans="1:5" x14ac:dyDescent="0.25">
      <c r="A147" s="201" t="s">
        <v>91</v>
      </c>
      <c r="B147" s="211" t="s">
        <v>213</v>
      </c>
      <c r="C147" s="212" t="s">
        <v>11</v>
      </c>
      <c r="D147" s="213" t="s">
        <v>210</v>
      </c>
      <c r="E147" s="205">
        <v>135961669.23878342</v>
      </c>
    </row>
    <row r="148" spans="1:5" x14ac:dyDescent="0.25">
      <c r="A148" s="201" t="s">
        <v>91</v>
      </c>
      <c r="B148" s="211" t="s">
        <v>213</v>
      </c>
      <c r="C148" s="212" t="s">
        <v>11</v>
      </c>
      <c r="D148" s="213" t="s">
        <v>211</v>
      </c>
      <c r="E148" s="205">
        <v>18129943733.125763</v>
      </c>
    </row>
    <row r="149" spans="1:5" x14ac:dyDescent="0.25">
      <c r="A149" s="201" t="s">
        <v>91</v>
      </c>
      <c r="B149" s="211" t="s">
        <v>213</v>
      </c>
      <c r="C149" s="212" t="s">
        <v>11</v>
      </c>
      <c r="D149" s="213" t="s">
        <v>209</v>
      </c>
      <c r="E149" s="205">
        <v>320612430.29567266</v>
      </c>
    </row>
    <row r="150" spans="1:5" x14ac:dyDescent="0.25">
      <c r="A150" s="201" t="s">
        <v>91</v>
      </c>
      <c r="B150" s="211" t="s">
        <v>213</v>
      </c>
      <c r="C150" s="212" t="s">
        <v>11</v>
      </c>
      <c r="D150" s="213" t="s">
        <v>210</v>
      </c>
      <c r="E150" s="205">
        <v>65108248.148905925</v>
      </c>
    </row>
    <row r="151" spans="1:5" x14ac:dyDescent="0.25">
      <c r="A151" s="201" t="s">
        <v>91</v>
      </c>
      <c r="B151" s="211" t="s">
        <v>213</v>
      </c>
      <c r="C151" s="212" t="s">
        <v>11</v>
      </c>
      <c r="D151" s="213" t="s">
        <v>211</v>
      </c>
      <c r="E151" s="205">
        <v>76299385751.56012</v>
      </c>
    </row>
    <row r="152" spans="1:5" x14ac:dyDescent="0.25">
      <c r="A152" s="201" t="s">
        <v>91</v>
      </c>
      <c r="B152" s="211" t="s">
        <v>213</v>
      </c>
      <c r="C152" s="212" t="s">
        <v>11</v>
      </c>
      <c r="D152" s="213" t="s">
        <v>209</v>
      </c>
      <c r="E152" s="205">
        <v>862856856.12425649</v>
      </c>
    </row>
    <row r="153" spans="1:5" x14ac:dyDescent="0.25">
      <c r="A153" s="201" t="s">
        <v>91</v>
      </c>
      <c r="B153" s="211" t="s">
        <v>213</v>
      </c>
      <c r="C153" s="212" t="s">
        <v>11</v>
      </c>
      <c r="D153" s="213" t="s">
        <v>210</v>
      </c>
      <c r="E153" s="205">
        <v>16295563827.477047</v>
      </c>
    </row>
    <row r="154" spans="1:5" x14ac:dyDescent="0.25">
      <c r="A154" s="201" t="s">
        <v>91</v>
      </c>
      <c r="B154" s="211" t="s">
        <v>213</v>
      </c>
      <c r="C154" s="212" t="s">
        <v>11</v>
      </c>
      <c r="D154" s="213" t="s">
        <v>211</v>
      </c>
      <c r="E154" s="205">
        <v>21273053394.41238</v>
      </c>
    </row>
    <row r="155" spans="1:5" x14ac:dyDescent="0.25">
      <c r="A155" s="201" t="s">
        <v>91</v>
      </c>
      <c r="B155" s="211" t="s">
        <v>213</v>
      </c>
      <c r="C155" s="214" t="s">
        <v>43</v>
      </c>
      <c r="D155" s="213" t="s">
        <v>209</v>
      </c>
      <c r="E155" s="205">
        <v>612676771.28155744</v>
      </c>
    </row>
    <row r="156" spans="1:5" x14ac:dyDescent="0.25">
      <c r="A156" s="201" t="s">
        <v>91</v>
      </c>
      <c r="B156" s="211" t="s">
        <v>213</v>
      </c>
      <c r="C156" s="214" t="s">
        <v>43</v>
      </c>
      <c r="D156" s="213" t="s">
        <v>210</v>
      </c>
      <c r="E156" s="205">
        <v>96063521.654051036</v>
      </c>
    </row>
    <row r="157" spans="1:5" x14ac:dyDescent="0.25">
      <c r="A157" s="201" t="s">
        <v>91</v>
      </c>
      <c r="B157" s="211" t="s">
        <v>213</v>
      </c>
      <c r="C157" s="214" t="s">
        <v>43</v>
      </c>
      <c r="D157" s="213" t="s">
        <v>211</v>
      </c>
      <c r="E157" s="205">
        <v>12823674724.88364</v>
      </c>
    </row>
    <row r="158" spans="1:5" x14ac:dyDescent="0.25">
      <c r="A158" s="201" t="s">
        <v>91</v>
      </c>
      <c r="B158" s="211" t="s">
        <v>213</v>
      </c>
      <c r="C158" s="214" t="s">
        <v>43</v>
      </c>
      <c r="D158" s="213" t="s">
        <v>209</v>
      </c>
      <c r="E158" s="205">
        <v>2856760837.2696323</v>
      </c>
    </row>
    <row r="159" spans="1:5" x14ac:dyDescent="0.25">
      <c r="A159" s="201" t="s">
        <v>91</v>
      </c>
      <c r="B159" s="211" t="s">
        <v>213</v>
      </c>
      <c r="C159" s="214" t="s">
        <v>43</v>
      </c>
      <c r="D159" s="213" t="s">
        <v>210</v>
      </c>
      <c r="E159" s="205">
        <v>60496701.14309489</v>
      </c>
    </row>
    <row r="160" spans="1:5" x14ac:dyDescent="0.25">
      <c r="A160" s="201" t="s">
        <v>91</v>
      </c>
      <c r="B160" s="211" t="s">
        <v>213</v>
      </c>
      <c r="C160" s="214" t="s">
        <v>43</v>
      </c>
      <c r="D160" s="213" t="s">
        <v>211</v>
      </c>
      <c r="E160" s="205">
        <v>564638567.35044146</v>
      </c>
    </row>
    <row r="161" spans="1:5" x14ac:dyDescent="0.25">
      <c r="A161" s="201" t="s">
        <v>91</v>
      </c>
      <c r="B161" s="211" t="s">
        <v>213</v>
      </c>
      <c r="C161" s="214" t="s">
        <v>43</v>
      </c>
      <c r="D161" s="213" t="s">
        <v>209</v>
      </c>
      <c r="E161" s="205">
        <v>184082636.02151233</v>
      </c>
    </row>
    <row r="162" spans="1:5" x14ac:dyDescent="0.25">
      <c r="A162" s="201" t="s">
        <v>91</v>
      </c>
      <c r="B162" s="211" t="s">
        <v>213</v>
      </c>
      <c r="C162" s="214" t="s">
        <v>43</v>
      </c>
      <c r="D162" s="213" t="s">
        <v>210</v>
      </c>
      <c r="E162" s="205">
        <v>34275968.87820337</v>
      </c>
    </row>
    <row r="163" spans="1:5" x14ac:dyDescent="0.25">
      <c r="A163" s="201" t="s">
        <v>91</v>
      </c>
      <c r="B163" s="211" t="s">
        <v>213</v>
      </c>
      <c r="C163" s="214" t="s">
        <v>43</v>
      </c>
      <c r="D163" s="213" t="s">
        <v>211</v>
      </c>
      <c r="E163" s="205">
        <v>1150929686.4761984</v>
      </c>
    </row>
    <row r="164" spans="1:5" x14ac:dyDescent="0.25">
      <c r="A164" s="201" t="s">
        <v>149</v>
      </c>
      <c r="B164" s="202" t="s">
        <v>208</v>
      </c>
      <c r="C164" s="203" t="s">
        <v>11</v>
      </c>
      <c r="D164" s="204" t="s">
        <v>209</v>
      </c>
      <c r="E164" s="205">
        <v>40136568341.134766</v>
      </c>
    </row>
    <row r="165" spans="1:5" x14ac:dyDescent="0.25">
      <c r="A165" s="201" t="s">
        <v>149</v>
      </c>
      <c r="B165" s="202" t="s">
        <v>208</v>
      </c>
      <c r="C165" s="203" t="s">
        <v>11</v>
      </c>
      <c r="D165" s="204" t="s">
        <v>210</v>
      </c>
      <c r="E165" s="205">
        <v>238663794468.5715</v>
      </c>
    </row>
    <row r="166" spans="1:5" x14ac:dyDescent="0.25">
      <c r="A166" s="201" t="s">
        <v>149</v>
      </c>
      <c r="B166" s="202" t="s">
        <v>208</v>
      </c>
      <c r="C166" s="203" t="s">
        <v>11</v>
      </c>
      <c r="D166" s="204" t="s">
        <v>211</v>
      </c>
      <c r="E166" s="205">
        <v>1499198853.1938143</v>
      </c>
    </row>
    <row r="167" spans="1:5" x14ac:dyDescent="0.25">
      <c r="A167" s="201" t="s">
        <v>149</v>
      </c>
      <c r="B167" s="202" t="s">
        <v>208</v>
      </c>
      <c r="C167" s="203" t="s">
        <v>11</v>
      </c>
      <c r="D167" s="204" t="s">
        <v>209</v>
      </c>
      <c r="E167" s="205">
        <v>234196563190.56668</v>
      </c>
    </row>
    <row r="168" spans="1:5" x14ac:dyDescent="0.25">
      <c r="A168" s="201" t="s">
        <v>149</v>
      </c>
      <c r="B168" s="202" t="s">
        <v>208</v>
      </c>
      <c r="C168" s="203" t="s">
        <v>11</v>
      </c>
      <c r="D168" s="204" t="s">
        <v>210</v>
      </c>
      <c r="E168" s="205">
        <v>752932109560.98779</v>
      </c>
    </row>
    <row r="169" spans="1:5" x14ac:dyDescent="0.25">
      <c r="A169" s="201" t="s">
        <v>149</v>
      </c>
      <c r="B169" s="202" t="s">
        <v>208</v>
      </c>
      <c r="C169" s="203" t="s">
        <v>11</v>
      </c>
      <c r="D169" s="204" t="s">
        <v>211</v>
      </c>
      <c r="E169" s="205">
        <v>655654835.8652575</v>
      </c>
    </row>
    <row r="170" spans="1:5" x14ac:dyDescent="0.25">
      <c r="A170" s="201" t="s">
        <v>149</v>
      </c>
      <c r="B170" s="202" t="s">
        <v>208</v>
      </c>
      <c r="C170" s="203" t="s">
        <v>11</v>
      </c>
      <c r="D170" s="204" t="s">
        <v>209</v>
      </c>
      <c r="E170" s="205">
        <v>56251914108.287552</v>
      </c>
    </row>
    <row r="171" spans="1:5" x14ac:dyDescent="0.25">
      <c r="A171" s="201" t="s">
        <v>149</v>
      </c>
      <c r="B171" s="202" t="s">
        <v>208</v>
      </c>
      <c r="C171" s="203" t="s">
        <v>11</v>
      </c>
      <c r="D171" s="204" t="s">
        <v>210</v>
      </c>
      <c r="E171" s="205">
        <v>317706322694.19305</v>
      </c>
    </row>
    <row r="172" spans="1:5" x14ac:dyDescent="0.25">
      <c r="A172" s="201" t="s">
        <v>149</v>
      </c>
      <c r="B172" s="202" t="s">
        <v>208</v>
      </c>
      <c r="C172" s="203" t="s">
        <v>11</v>
      </c>
      <c r="D172" s="204" t="s">
        <v>211</v>
      </c>
      <c r="E172" s="205">
        <v>6400005363.8747654</v>
      </c>
    </row>
    <row r="173" spans="1:5" x14ac:dyDescent="0.25">
      <c r="A173" s="201" t="s">
        <v>149</v>
      </c>
      <c r="B173" s="202" t="s">
        <v>208</v>
      </c>
      <c r="C173" s="206" t="s">
        <v>43</v>
      </c>
      <c r="D173" s="204" t="s">
        <v>209</v>
      </c>
      <c r="E173" s="205">
        <v>272140484020.32053</v>
      </c>
    </row>
    <row r="174" spans="1:5" x14ac:dyDescent="0.25">
      <c r="A174" s="201" t="s">
        <v>149</v>
      </c>
      <c r="B174" s="202" t="s">
        <v>208</v>
      </c>
      <c r="C174" s="206" t="s">
        <v>43</v>
      </c>
      <c r="D174" s="204" t="s">
        <v>210</v>
      </c>
      <c r="E174" s="205">
        <v>1079640323943.1248</v>
      </c>
    </row>
    <row r="175" spans="1:5" x14ac:dyDescent="0.25">
      <c r="A175" s="201" t="s">
        <v>149</v>
      </c>
      <c r="B175" s="202" t="s">
        <v>208</v>
      </c>
      <c r="C175" s="206" t="s">
        <v>43</v>
      </c>
      <c r="D175" s="204" t="s">
        <v>211</v>
      </c>
      <c r="E175" s="205">
        <v>17114513147.41898</v>
      </c>
    </row>
    <row r="176" spans="1:5" x14ac:dyDescent="0.25">
      <c r="A176" s="201" t="s">
        <v>149</v>
      </c>
      <c r="B176" s="202" t="s">
        <v>208</v>
      </c>
      <c r="C176" s="206" t="s">
        <v>43</v>
      </c>
      <c r="D176" s="204" t="s">
        <v>209</v>
      </c>
      <c r="E176" s="205">
        <v>128074449312.48926</v>
      </c>
    </row>
    <row r="177" spans="1:5" x14ac:dyDescent="0.25">
      <c r="A177" s="201" t="s">
        <v>149</v>
      </c>
      <c r="B177" s="202" t="s">
        <v>208</v>
      </c>
      <c r="C177" s="206" t="s">
        <v>43</v>
      </c>
      <c r="D177" s="204" t="s">
        <v>210</v>
      </c>
      <c r="E177" s="205">
        <v>211905349546.05313</v>
      </c>
    </row>
    <row r="178" spans="1:5" x14ac:dyDescent="0.25">
      <c r="A178" s="201" t="s">
        <v>149</v>
      </c>
      <c r="B178" s="202" t="s">
        <v>208</v>
      </c>
      <c r="C178" s="206" t="s">
        <v>43</v>
      </c>
      <c r="D178" s="204" t="s">
        <v>211</v>
      </c>
      <c r="E178" s="205">
        <v>140412900.74372274</v>
      </c>
    </row>
    <row r="179" spans="1:5" x14ac:dyDescent="0.25">
      <c r="A179" s="201" t="s">
        <v>149</v>
      </c>
      <c r="B179" s="202" t="s">
        <v>208</v>
      </c>
      <c r="C179" s="206" t="s">
        <v>43</v>
      </c>
      <c r="D179" s="204" t="s">
        <v>209</v>
      </c>
      <c r="E179" s="205">
        <v>1472762469.7010508</v>
      </c>
    </row>
    <row r="180" spans="1:5" x14ac:dyDescent="0.25">
      <c r="A180" s="201" t="s">
        <v>149</v>
      </c>
      <c r="B180" s="202" t="s">
        <v>208</v>
      </c>
      <c r="C180" s="206" t="s">
        <v>43</v>
      </c>
      <c r="D180" s="204" t="s">
        <v>210</v>
      </c>
      <c r="E180" s="205">
        <v>143211279809.33096</v>
      </c>
    </row>
    <row r="181" spans="1:5" x14ac:dyDescent="0.25">
      <c r="A181" s="201" t="s">
        <v>149</v>
      </c>
      <c r="B181" s="202" t="s">
        <v>208</v>
      </c>
      <c r="C181" s="206" t="s">
        <v>43</v>
      </c>
      <c r="D181" s="204" t="s">
        <v>211</v>
      </c>
      <c r="E181" s="205">
        <v>1161116050.2862823</v>
      </c>
    </row>
    <row r="182" spans="1:5" x14ac:dyDescent="0.25">
      <c r="A182" s="201" t="s">
        <v>149</v>
      </c>
      <c r="B182" s="207" t="s">
        <v>212</v>
      </c>
      <c r="C182" s="208" t="s">
        <v>11</v>
      </c>
      <c r="D182" s="209" t="s">
        <v>209</v>
      </c>
      <c r="E182" s="205">
        <v>49647411862.800102</v>
      </c>
    </row>
    <row r="183" spans="1:5" x14ac:dyDescent="0.25">
      <c r="A183" s="201" t="s">
        <v>149</v>
      </c>
      <c r="B183" s="207" t="s">
        <v>212</v>
      </c>
      <c r="C183" s="208" t="s">
        <v>11</v>
      </c>
      <c r="D183" s="209" t="s">
        <v>210</v>
      </c>
      <c r="E183" s="205">
        <v>397418828968.07141</v>
      </c>
    </row>
    <row r="184" spans="1:5" x14ac:dyDescent="0.25">
      <c r="A184" s="201" t="s">
        <v>149</v>
      </c>
      <c r="B184" s="207" t="s">
        <v>212</v>
      </c>
      <c r="C184" s="208" t="s">
        <v>11</v>
      </c>
      <c r="D184" s="209" t="s">
        <v>211</v>
      </c>
      <c r="E184" s="205">
        <v>1788199799.7892258</v>
      </c>
    </row>
    <row r="185" spans="1:5" x14ac:dyDescent="0.25">
      <c r="A185" s="201" t="s">
        <v>149</v>
      </c>
      <c r="B185" s="207" t="s">
        <v>212</v>
      </c>
      <c r="C185" s="208" t="s">
        <v>11</v>
      </c>
      <c r="D185" s="209" t="s">
        <v>209</v>
      </c>
      <c r="E185" s="205">
        <v>242182724849.61139</v>
      </c>
    </row>
    <row r="186" spans="1:5" x14ac:dyDescent="0.25">
      <c r="A186" s="201" t="s">
        <v>149</v>
      </c>
      <c r="B186" s="207" t="s">
        <v>212</v>
      </c>
      <c r="C186" s="208" t="s">
        <v>11</v>
      </c>
      <c r="D186" s="209" t="s">
        <v>210</v>
      </c>
      <c r="E186" s="205">
        <v>618207606863.85278</v>
      </c>
    </row>
    <row r="187" spans="1:5" x14ac:dyDescent="0.25">
      <c r="A187" s="201" t="s">
        <v>149</v>
      </c>
      <c r="B187" s="207" t="s">
        <v>212</v>
      </c>
      <c r="C187" s="208" t="s">
        <v>11</v>
      </c>
      <c r="D187" s="209" t="s">
        <v>211</v>
      </c>
      <c r="E187" s="205">
        <v>1938127455.9228582</v>
      </c>
    </row>
    <row r="188" spans="1:5" x14ac:dyDescent="0.25">
      <c r="A188" s="201" t="s">
        <v>149</v>
      </c>
      <c r="B188" s="207" t="s">
        <v>212</v>
      </c>
      <c r="C188" s="208" t="s">
        <v>11</v>
      </c>
      <c r="D188" s="209" t="s">
        <v>209</v>
      </c>
      <c r="E188" s="205">
        <v>15750599147.997387</v>
      </c>
    </row>
    <row r="189" spans="1:5" x14ac:dyDescent="0.25">
      <c r="A189" s="201" t="s">
        <v>149</v>
      </c>
      <c r="B189" s="207" t="s">
        <v>212</v>
      </c>
      <c r="C189" s="208" t="s">
        <v>11</v>
      </c>
      <c r="D189" s="209" t="s">
        <v>210</v>
      </c>
      <c r="E189" s="205">
        <v>670787822451.19434</v>
      </c>
    </row>
    <row r="190" spans="1:5" x14ac:dyDescent="0.25">
      <c r="A190" s="201" t="s">
        <v>149</v>
      </c>
      <c r="B190" s="207" t="s">
        <v>212</v>
      </c>
      <c r="C190" s="208" t="s">
        <v>11</v>
      </c>
      <c r="D190" s="209" t="s">
        <v>211</v>
      </c>
      <c r="E190" s="205">
        <v>1074222594.699106</v>
      </c>
    </row>
    <row r="191" spans="1:5" x14ac:dyDescent="0.25">
      <c r="A191" s="201" t="s">
        <v>149</v>
      </c>
      <c r="B191" s="207" t="s">
        <v>212</v>
      </c>
      <c r="C191" s="210" t="s">
        <v>43</v>
      </c>
      <c r="D191" s="209" t="s">
        <v>209</v>
      </c>
      <c r="E191" s="205">
        <v>14100313403.819164</v>
      </c>
    </row>
    <row r="192" spans="1:5" x14ac:dyDescent="0.25">
      <c r="A192" s="201" t="s">
        <v>149</v>
      </c>
      <c r="B192" s="207" t="s">
        <v>212</v>
      </c>
      <c r="C192" s="210" t="s">
        <v>43</v>
      </c>
      <c r="D192" s="209" t="s">
        <v>210</v>
      </c>
      <c r="E192" s="205">
        <v>208386276732.41711</v>
      </c>
    </row>
    <row r="193" spans="1:5" x14ac:dyDescent="0.25">
      <c r="A193" s="201" t="s">
        <v>149</v>
      </c>
      <c r="B193" s="207" t="s">
        <v>212</v>
      </c>
      <c r="C193" s="210" t="s">
        <v>43</v>
      </c>
      <c r="D193" s="209" t="s">
        <v>211</v>
      </c>
      <c r="E193" s="205">
        <v>41582648.826183893</v>
      </c>
    </row>
    <row r="194" spans="1:5" x14ac:dyDescent="0.25">
      <c r="A194" s="201" t="s">
        <v>149</v>
      </c>
      <c r="B194" s="207" t="s">
        <v>212</v>
      </c>
      <c r="C194" s="210" t="s">
        <v>43</v>
      </c>
      <c r="D194" s="209" t="s">
        <v>209</v>
      </c>
      <c r="E194" s="205">
        <v>4885543239.9634933</v>
      </c>
    </row>
    <row r="195" spans="1:5" x14ac:dyDescent="0.25">
      <c r="A195" s="201" t="s">
        <v>149</v>
      </c>
      <c r="B195" s="207" t="s">
        <v>212</v>
      </c>
      <c r="C195" s="210" t="s">
        <v>43</v>
      </c>
      <c r="D195" s="209" t="s">
        <v>210</v>
      </c>
      <c r="E195" s="205">
        <v>158574047113.27917</v>
      </c>
    </row>
    <row r="196" spans="1:5" x14ac:dyDescent="0.25">
      <c r="A196" s="201" t="s">
        <v>149</v>
      </c>
      <c r="B196" s="207" t="s">
        <v>212</v>
      </c>
      <c r="C196" s="210" t="s">
        <v>43</v>
      </c>
      <c r="D196" s="209" t="s">
        <v>211</v>
      </c>
      <c r="E196" s="205">
        <v>582269579.74230123</v>
      </c>
    </row>
    <row r="197" spans="1:5" x14ac:dyDescent="0.25">
      <c r="A197" s="201" t="s">
        <v>149</v>
      </c>
      <c r="B197" s="207" t="s">
        <v>212</v>
      </c>
      <c r="C197" s="210" t="s">
        <v>43</v>
      </c>
      <c r="D197" s="209" t="s">
        <v>209</v>
      </c>
      <c r="E197" s="205">
        <v>29955809581.131618</v>
      </c>
    </row>
    <row r="198" spans="1:5" x14ac:dyDescent="0.25">
      <c r="A198" s="201" t="s">
        <v>149</v>
      </c>
      <c r="B198" s="207" t="s">
        <v>212</v>
      </c>
      <c r="C198" s="210" t="s">
        <v>43</v>
      </c>
      <c r="D198" s="209" t="s">
        <v>210</v>
      </c>
      <c r="E198" s="205">
        <v>557331266932.81299</v>
      </c>
    </row>
    <row r="199" spans="1:5" x14ac:dyDescent="0.25">
      <c r="A199" s="201" t="s">
        <v>149</v>
      </c>
      <c r="B199" s="207" t="s">
        <v>212</v>
      </c>
      <c r="C199" s="210" t="s">
        <v>43</v>
      </c>
      <c r="D199" s="209" t="s">
        <v>211</v>
      </c>
      <c r="E199" s="205">
        <v>2053646564.6636078</v>
      </c>
    </row>
    <row r="200" spans="1:5" x14ac:dyDescent="0.25">
      <c r="A200" s="201" t="s">
        <v>149</v>
      </c>
      <c r="B200" s="211" t="s">
        <v>213</v>
      </c>
      <c r="C200" s="212" t="s">
        <v>11</v>
      </c>
      <c r="D200" s="213" t="s">
        <v>209</v>
      </c>
      <c r="E200" s="205">
        <v>28733851670.749241</v>
      </c>
    </row>
    <row r="201" spans="1:5" x14ac:dyDescent="0.25">
      <c r="A201" s="201" t="s">
        <v>149</v>
      </c>
      <c r="B201" s="211" t="s">
        <v>213</v>
      </c>
      <c r="C201" s="212" t="s">
        <v>11</v>
      </c>
      <c r="D201" s="213" t="s">
        <v>210</v>
      </c>
      <c r="E201" s="205">
        <v>294373203861.41113</v>
      </c>
    </row>
    <row r="202" spans="1:5" x14ac:dyDescent="0.25">
      <c r="A202" s="201" t="s">
        <v>149</v>
      </c>
      <c r="B202" s="211" t="s">
        <v>213</v>
      </c>
      <c r="C202" s="212" t="s">
        <v>11</v>
      </c>
      <c r="D202" s="213" t="s">
        <v>211</v>
      </c>
      <c r="E202" s="205">
        <v>3578431127.6529431</v>
      </c>
    </row>
    <row r="203" spans="1:5" x14ac:dyDescent="0.25">
      <c r="A203" s="201" t="s">
        <v>149</v>
      </c>
      <c r="B203" s="211" t="s">
        <v>213</v>
      </c>
      <c r="C203" s="212" t="s">
        <v>11</v>
      </c>
      <c r="D203" s="213" t="s">
        <v>209</v>
      </c>
      <c r="E203" s="205">
        <v>244275742902.56985</v>
      </c>
    </row>
    <row r="204" spans="1:5" x14ac:dyDescent="0.25">
      <c r="A204" s="201" t="s">
        <v>149</v>
      </c>
      <c r="B204" s="211" t="s">
        <v>213</v>
      </c>
      <c r="C204" s="212" t="s">
        <v>11</v>
      </c>
      <c r="D204" s="213" t="s">
        <v>210</v>
      </c>
      <c r="E204" s="205">
        <v>1463314781593.7844</v>
      </c>
    </row>
    <row r="205" spans="1:5" x14ac:dyDescent="0.25">
      <c r="A205" s="201" t="s">
        <v>149</v>
      </c>
      <c r="B205" s="211" t="s">
        <v>213</v>
      </c>
      <c r="C205" s="212" t="s">
        <v>11</v>
      </c>
      <c r="D205" s="213" t="s">
        <v>211</v>
      </c>
      <c r="E205" s="205">
        <v>494948837121.67212</v>
      </c>
    </row>
    <row r="206" spans="1:5" x14ac:dyDescent="0.25">
      <c r="A206" s="201" t="s">
        <v>149</v>
      </c>
      <c r="B206" s="211" t="s">
        <v>213</v>
      </c>
      <c r="C206" s="212" t="s">
        <v>11</v>
      </c>
      <c r="D206" s="213" t="s">
        <v>209</v>
      </c>
      <c r="E206" s="205">
        <v>334193762413.48853</v>
      </c>
    </row>
    <row r="207" spans="1:5" x14ac:dyDescent="0.25">
      <c r="A207" s="201" t="s">
        <v>149</v>
      </c>
      <c r="B207" s="211" t="s">
        <v>213</v>
      </c>
      <c r="C207" s="212" t="s">
        <v>11</v>
      </c>
      <c r="D207" s="213" t="s">
        <v>210</v>
      </c>
      <c r="E207" s="205">
        <v>228492280.744874</v>
      </c>
    </row>
    <row r="208" spans="1:5" x14ac:dyDescent="0.25">
      <c r="A208" s="201" t="s">
        <v>149</v>
      </c>
      <c r="B208" s="211" t="s">
        <v>213</v>
      </c>
      <c r="C208" s="212" t="s">
        <v>11</v>
      </c>
      <c r="D208" s="213" t="s">
        <v>211</v>
      </c>
      <c r="E208" s="205">
        <v>4552163488.9692411</v>
      </c>
    </row>
    <row r="209" spans="1:5" x14ac:dyDescent="0.25">
      <c r="A209" s="201" t="s">
        <v>149</v>
      </c>
      <c r="B209" s="211" t="s">
        <v>213</v>
      </c>
      <c r="C209" s="214" t="s">
        <v>43</v>
      </c>
      <c r="D209" s="213" t="s">
        <v>209</v>
      </c>
      <c r="E209" s="205">
        <v>95017833594.012619</v>
      </c>
    </row>
    <row r="210" spans="1:5" x14ac:dyDescent="0.25">
      <c r="A210" s="201" t="s">
        <v>149</v>
      </c>
      <c r="B210" s="211" t="s">
        <v>213</v>
      </c>
      <c r="C210" s="214" t="s">
        <v>43</v>
      </c>
      <c r="D210" s="213" t="s">
        <v>210</v>
      </c>
      <c r="E210" s="205">
        <v>388103396.34535664</v>
      </c>
    </row>
    <row r="211" spans="1:5" x14ac:dyDescent="0.25">
      <c r="A211" s="201" t="s">
        <v>149</v>
      </c>
      <c r="B211" s="211" t="s">
        <v>213</v>
      </c>
      <c r="C211" s="214" t="s">
        <v>43</v>
      </c>
      <c r="D211" s="213" t="s">
        <v>211</v>
      </c>
      <c r="E211" s="205">
        <v>10198067346.69681</v>
      </c>
    </row>
    <row r="212" spans="1:5" x14ac:dyDescent="0.25">
      <c r="A212" s="201" t="s">
        <v>149</v>
      </c>
      <c r="B212" s="211" t="s">
        <v>213</v>
      </c>
      <c r="C212" s="214" t="s">
        <v>43</v>
      </c>
      <c r="D212" s="213" t="s">
        <v>209</v>
      </c>
      <c r="E212" s="205">
        <v>57534874410.017433</v>
      </c>
    </row>
    <row r="213" spans="1:5" x14ac:dyDescent="0.25">
      <c r="A213" s="201" t="s">
        <v>149</v>
      </c>
      <c r="B213" s="211" t="s">
        <v>213</v>
      </c>
      <c r="C213" s="214" t="s">
        <v>43</v>
      </c>
      <c r="D213" s="213" t="s">
        <v>210</v>
      </c>
      <c r="E213" s="205">
        <v>895737451256.55664</v>
      </c>
    </row>
    <row r="214" spans="1:5" x14ac:dyDescent="0.25">
      <c r="A214" s="201" t="s">
        <v>149</v>
      </c>
      <c r="B214" s="211" t="s">
        <v>213</v>
      </c>
      <c r="C214" s="214" t="s">
        <v>43</v>
      </c>
      <c r="D214" s="213" t="s">
        <v>211</v>
      </c>
      <c r="E214" s="205">
        <v>90413412999.427917</v>
      </c>
    </row>
    <row r="215" spans="1:5" x14ac:dyDescent="0.25">
      <c r="A215" s="201" t="s">
        <v>149</v>
      </c>
      <c r="B215" s="211" t="s">
        <v>213</v>
      </c>
      <c r="C215" s="214" t="s">
        <v>43</v>
      </c>
      <c r="D215" s="213" t="s">
        <v>209</v>
      </c>
      <c r="E215" s="205">
        <v>555850735506.33948</v>
      </c>
    </row>
    <row r="216" spans="1:5" x14ac:dyDescent="0.25">
      <c r="A216" s="201" t="s">
        <v>149</v>
      </c>
      <c r="B216" s="211" t="s">
        <v>213</v>
      </c>
      <c r="C216" s="214" t="s">
        <v>43</v>
      </c>
      <c r="D216" s="213" t="s">
        <v>210</v>
      </c>
      <c r="E216" s="205">
        <v>781241977322.24731</v>
      </c>
    </row>
    <row r="217" spans="1:5" x14ac:dyDescent="0.25">
      <c r="A217" s="201" t="s">
        <v>149</v>
      </c>
      <c r="B217" s="211" t="s">
        <v>213</v>
      </c>
      <c r="C217" s="214" t="s">
        <v>43</v>
      </c>
      <c r="D217" s="213" t="s">
        <v>211</v>
      </c>
      <c r="E217" s="205">
        <v>14970928792.558916</v>
      </c>
    </row>
    <row r="218" spans="1:5" x14ac:dyDescent="0.25">
      <c r="A218" s="201" t="s">
        <v>214</v>
      </c>
      <c r="B218" s="202" t="s">
        <v>208</v>
      </c>
      <c r="C218" s="203" t="s">
        <v>11</v>
      </c>
      <c r="D218" s="204" t="s">
        <v>209</v>
      </c>
      <c r="E218" s="205">
        <v>84245341374.367477</v>
      </c>
    </row>
    <row r="219" spans="1:5" x14ac:dyDescent="0.25">
      <c r="A219" s="201" t="s">
        <v>214</v>
      </c>
      <c r="B219" s="202" t="s">
        <v>208</v>
      </c>
      <c r="C219" s="203" t="s">
        <v>11</v>
      </c>
      <c r="D219" s="204" t="s">
        <v>210</v>
      </c>
      <c r="E219" s="205">
        <v>263438182784.7045</v>
      </c>
    </row>
    <row r="220" spans="1:5" x14ac:dyDescent="0.25">
      <c r="A220" s="201" t="s">
        <v>214</v>
      </c>
      <c r="B220" s="202" t="s">
        <v>208</v>
      </c>
      <c r="C220" s="203" t="s">
        <v>11</v>
      </c>
      <c r="D220" s="204" t="s">
        <v>211</v>
      </c>
      <c r="E220" s="205">
        <v>10967589081.359892</v>
      </c>
    </row>
    <row r="221" spans="1:5" x14ac:dyDescent="0.25">
      <c r="A221" s="201" t="s">
        <v>214</v>
      </c>
      <c r="B221" s="202" t="s">
        <v>208</v>
      </c>
      <c r="C221" s="203" t="s">
        <v>11</v>
      </c>
      <c r="D221" s="204" t="s">
        <v>209</v>
      </c>
      <c r="E221" s="205">
        <v>445870069462.55194</v>
      </c>
    </row>
    <row r="222" spans="1:5" x14ac:dyDescent="0.25">
      <c r="A222" s="201" t="s">
        <v>214</v>
      </c>
      <c r="B222" s="202" t="s">
        <v>208</v>
      </c>
      <c r="C222" s="203" t="s">
        <v>11</v>
      </c>
      <c r="D222" s="204" t="s">
        <v>210</v>
      </c>
      <c r="E222" s="205">
        <v>518679091128.98816</v>
      </c>
    </row>
    <row r="223" spans="1:5" x14ac:dyDescent="0.25">
      <c r="A223" s="201" t="s">
        <v>214</v>
      </c>
      <c r="B223" s="202" t="s">
        <v>208</v>
      </c>
      <c r="C223" s="203" t="s">
        <v>11</v>
      </c>
      <c r="D223" s="204" t="s">
        <v>211</v>
      </c>
      <c r="E223" s="205">
        <v>5613940765.8571892</v>
      </c>
    </row>
    <row r="224" spans="1:5" x14ac:dyDescent="0.25">
      <c r="A224" s="201" t="s">
        <v>214</v>
      </c>
      <c r="B224" s="202" t="s">
        <v>208</v>
      </c>
      <c r="C224" s="203" t="s">
        <v>11</v>
      </c>
      <c r="D224" s="204" t="s">
        <v>209</v>
      </c>
      <c r="E224" s="205">
        <v>20745437385.659107</v>
      </c>
    </row>
    <row r="225" spans="1:5" x14ac:dyDescent="0.25">
      <c r="A225" s="201" t="s">
        <v>214</v>
      </c>
      <c r="B225" s="202" t="s">
        <v>208</v>
      </c>
      <c r="C225" s="203" t="s">
        <v>11</v>
      </c>
      <c r="D225" s="204" t="s">
        <v>210</v>
      </c>
      <c r="E225" s="205">
        <v>304122466054.09845</v>
      </c>
    </row>
    <row r="226" spans="1:5" x14ac:dyDescent="0.25">
      <c r="A226" s="201" t="s">
        <v>214</v>
      </c>
      <c r="B226" s="202" t="s">
        <v>208</v>
      </c>
      <c r="C226" s="203" t="s">
        <v>11</v>
      </c>
      <c r="D226" s="204" t="s">
        <v>211</v>
      </c>
      <c r="E226" s="205">
        <v>31799052298.438625</v>
      </c>
    </row>
    <row r="227" spans="1:5" x14ac:dyDescent="0.25">
      <c r="A227" s="201" t="s">
        <v>214</v>
      </c>
      <c r="B227" s="202" t="s">
        <v>208</v>
      </c>
      <c r="C227" s="206" t="s">
        <v>43</v>
      </c>
      <c r="D227" s="204" t="s">
        <v>209</v>
      </c>
      <c r="E227" s="205">
        <v>930513849080.92297</v>
      </c>
    </row>
    <row r="228" spans="1:5" x14ac:dyDescent="0.25">
      <c r="A228" s="201" t="s">
        <v>214</v>
      </c>
      <c r="B228" s="202" t="s">
        <v>208</v>
      </c>
      <c r="C228" s="206" t="s">
        <v>43</v>
      </c>
      <c r="D228" s="204" t="s">
        <v>210</v>
      </c>
      <c r="E228" s="205">
        <v>1030394505486.1782</v>
      </c>
    </row>
    <row r="229" spans="1:5" x14ac:dyDescent="0.25">
      <c r="A229" s="201" t="s">
        <v>214</v>
      </c>
      <c r="B229" s="202" t="s">
        <v>208</v>
      </c>
      <c r="C229" s="206" t="s">
        <v>43</v>
      </c>
      <c r="D229" s="204" t="s">
        <v>211</v>
      </c>
      <c r="E229" s="205">
        <v>236742939664.07965</v>
      </c>
    </row>
    <row r="230" spans="1:5" x14ac:dyDescent="0.25">
      <c r="A230" s="201" t="s">
        <v>214</v>
      </c>
      <c r="B230" s="202" t="s">
        <v>208</v>
      </c>
      <c r="C230" s="206" t="s">
        <v>43</v>
      </c>
      <c r="D230" s="204" t="s">
        <v>209</v>
      </c>
      <c r="E230" s="205">
        <v>327464084359.08282</v>
      </c>
    </row>
    <row r="231" spans="1:5" x14ac:dyDescent="0.25">
      <c r="A231" s="201" t="s">
        <v>214</v>
      </c>
      <c r="B231" s="202" t="s">
        <v>208</v>
      </c>
      <c r="C231" s="206" t="s">
        <v>43</v>
      </c>
      <c r="D231" s="204" t="s">
        <v>210</v>
      </c>
      <c r="E231" s="205">
        <v>270847172224.1496</v>
      </c>
    </row>
    <row r="232" spans="1:5" x14ac:dyDescent="0.25">
      <c r="A232" s="201" t="s">
        <v>214</v>
      </c>
      <c r="B232" s="202" t="s">
        <v>208</v>
      </c>
      <c r="C232" s="206" t="s">
        <v>43</v>
      </c>
      <c r="D232" s="204" t="s">
        <v>211</v>
      </c>
      <c r="E232" s="205">
        <v>2377793465.9572716</v>
      </c>
    </row>
    <row r="233" spans="1:5" x14ac:dyDescent="0.25">
      <c r="A233" s="201" t="s">
        <v>214</v>
      </c>
      <c r="B233" s="202" t="s">
        <v>208</v>
      </c>
      <c r="C233" s="206" t="s">
        <v>43</v>
      </c>
      <c r="D233" s="204" t="s">
        <v>209</v>
      </c>
      <c r="E233" s="205">
        <v>235112270.78287843</v>
      </c>
    </row>
    <row r="234" spans="1:5" x14ac:dyDescent="0.25">
      <c r="A234" s="201" t="s">
        <v>214</v>
      </c>
      <c r="B234" s="202" t="s">
        <v>208</v>
      </c>
      <c r="C234" s="206" t="s">
        <v>43</v>
      </c>
      <c r="D234" s="204" t="s">
        <v>210</v>
      </c>
      <c r="E234" s="205">
        <v>3211219145.5403285</v>
      </c>
    </row>
    <row r="235" spans="1:5" x14ac:dyDescent="0.25">
      <c r="A235" s="201" t="s">
        <v>214</v>
      </c>
      <c r="B235" s="202" t="s">
        <v>208</v>
      </c>
      <c r="C235" s="206" t="s">
        <v>43</v>
      </c>
      <c r="D235" s="204" t="s">
        <v>211</v>
      </c>
      <c r="E235" s="205">
        <v>2970472492.6153102</v>
      </c>
    </row>
    <row r="236" spans="1:5" x14ac:dyDescent="0.25">
      <c r="A236" s="201" t="s">
        <v>214</v>
      </c>
      <c r="B236" s="207" t="s">
        <v>212</v>
      </c>
      <c r="C236" s="208" t="s">
        <v>11</v>
      </c>
      <c r="D236" s="209" t="s">
        <v>209</v>
      </c>
      <c r="E236" s="205">
        <v>26153818491.553223</v>
      </c>
    </row>
    <row r="237" spans="1:5" x14ac:dyDescent="0.25">
      <c r="A237" s="201" t="s">
        <v>214</v>
      </c>
      <c r="B237" s="207" t="s">
        <v>212</v>
      </c>
      <c r="C237" s="208" t="s">
        <v>11</v>
      </c>
      <c r="D237" s="209" t="s">
        <v>210</v>
      </c>
      <c r="E237" s="205">
        <v>701246398106.69995</v>
      </c>
    </row>
    <row r="238" spans="1:5" x14ac:dyDescent="0.25">
      <c r="A238" s="201" t="s">
        <v>214</v>
      </c>
      <c r="B238" s="207" t="s">
        <v>212</v>
      </c>
      <c r="C238" s="208" t="s">
        <v>11</v>
      </c>
      <c r="D238" s="209" t="s">
        <v>211</v>
      </c>
      <c r="E238" s="205">
        <v>30784899984.065605</v>
      </c>
    </row>
    <row r="239" spans="1:5" x14ac:dyDescent="0.25">
      <c r="A239" s="201" t="s">
        <v>214</v>
      </c>
      <c r="B239" s="207" t="s">
        <v>212</v>
      </c>
      <c r="C239" s="208" t="s">
        <v>11</v>
      </c>
      <c r="D239" s="209" t="s">
        <v>209</v>
      </c>
      <c r="E239" s="205">
        <v>528858737146.32446</v>
      </c>
    </row>
    <row r="240" spans="1:5" x14ac:dyDescent="0.25">
      <c r="A240" s="201" t="s">
        <v>214</v>
      </c>
      <c r="B240" s="207" t="s">
        <v>212</v>
      </c>
      <c r="C240" s="208" t="s">
        <v>11</v>
      </c>
      <c r="D240" s="209" t="s">
        <v>210</v>
      </c>
      <c r="E240" s="205">
        <v>930106918296.39417</v>
      </c>
    </row>
    <row r="241" spans="1:5" x14ac:dyDescent="0.25">
      <c r="A241" s="201" t="s">
        <v>214</v>
      </c>
      <c r="B241" s="207" t="s">
        <v>212</v>
      </c>
      <c r="C241" s="208" t="s">
        <v>11</v>
      </c>
      <c r="D241" s="209" t="s">
        <v>211</v>
      </c>
      <c r="E241" s="205">
        <v>12799164391.999931</v>
      </c>
    </row>
    <row r="242" spans="1:5" x14ac:dyDescent="0.25">
      <c r="A242" s="201" t="s">
        <v>214</v>
      </c>
      <c r="B242" s="207" t="s">
        <v>212</v>
      </c>
      <c r="C242" s="208" t="s">
        <v>11</v>
      </c>
      <c r="D242" s="209" t="s">
        <v>209</v>
      </c>
      <c r="E242" s="205">
        <v>55219810983.273643</v>
      </c>
    </row>
    <row r="243" spans="1:5" x14ac:dyDescent="0.25">
      <c r="A243" s="201" t="s">
        <v>214</v>
      </c>
      <c r="B243" s="207" t="s">
        <v>212</v>
      </c>
      <c r="C243" s="208" t="s">
        <v>11</v>
      </c>
      <c r="D243" s="209" t="s">
        <v>210</v>
      </c>
      <c r="E243" s="205">
        <v>802840593809.45422</v>
      </c>
    </row>
    <row r="244" spans="1:5" x14ac:dyDescent="0.25">
      <c r="A244" s="201" t="s">
        <v>214</v>
      </c>
      <c r="B244" s="207" t="s">
        <v>212</v>
      </c>
      <c r="C244" s="208" t="s">
        <v>11</v>
      </c>
      <c r="D244" s="209" t="s">
        <v>211</v>
      </c>
      <c r="E244" s="205">
        <v>15002955539.911449</v>
      </c>
    </row>
    <row r="245" spans="1:5" x14ac:dyDescent="0.25">
      <c r="A245" s="201" t="s">
        <v>214</v>
      </c>
      <c r="B245" s="207" t="s">
        <v>212</v>
      </c>
      <c r="C245" s="210" t="s">
        <v>43</v>
      </c>
      <c r="D245" s="209" t="s">
        <v>209</v>
      </c>
      <c r="E245" s="205">
        <v>945863489.54133821</v>
      </c>
    </row>
    <row r="246" spans="1:5" x14ac:dyDescent="0.25">
      <c r="A246" s="201" t="s">
        <v>214</v>
      </c>
      <c r="B246" s="207" t="s">
        <v>212</v>
      </c>
      <c r="C246" s="210" t="s">
        <v>43</v>
      </c>
      <c r="D246" s="209" t="s">
        <v>210</v>
      </c>
      <c r="E246" s="205">
        <v>95036213617.792847</v>
      </c>
    </row>
    <row r="247" spans="1:5" x14ac:dyDescent="0.25">
      <c r="A247" s="201" t="s">
        <v>214</v>
      </c>
      <c r="B247" s="207" t="s">
        <v>212</v>
      </c>
      <c r="C247" s="210" t="s">
        <v>43</v>
      </c>
      <c r="D247" s="209" t="s">
        <v>211</v>
      </c>
      <c r="E247" s="205">
        <v>114290368.59122522</v>
      </c>
    </row>
    <row r="248" spans="1:5" x14ac:dyDescent="0.25">
      <c r="A248" s="201" t="s">
        <v>214</v>
      </c>
      <c r="B248" s="207" t="s">
        <v>212</v>
      </c>
      <c r="C248" s="210" t="s">
        <v>43</v>
      </c>
      <c r="D248" s="209" t="s">
        <v>209</v>
      </c>
      <c r="E248" s="205">
        <v>17814961712.874332</v>
      </c>
    </row>
    <row r="249" spans="1:5" x14ac:dyDescent="0.25">
      <c r="A249" s="201" t="s">
        <v>214</v>
      </c>
      <c r="B249" s="207" t="s">
        <v>212</v>
      </c>
      <c r="C249" s="210" t="s">
        <v>43</v>
      </c>
      <c r="D249" s="209" t="s">
        <v>210</v>
      </c>
      <c r="E249" s="205">
        <v>72068569768.801117</v>
      </c>
    </row>
    <row r="250" spans="1:5" x14ac:dyDescent="0.25">
      <c r="A250" s="201" t="s">
        <v>214</v>
      </c>
      <c r="B250" s="207" t="s">
        <v>212</v>
      </c>
      <c r="C250" s="210" t="s">
        <v>43</v>
      </c>
      <c r="D250" s="209" t="s">
        <v>211</v>
      </c>
      <c r="E250" s="205">
        <v>1613097809.8433526</v>
      </c>
    </row>
    <row r="251" spans="1:5" x14ac:dyDescent="0.25">
      <c r="A251" s="201" t="s">
        <v>214</v>
      </c>
      <c r="B251" s="207" t="s">
        <v>212</v>
      </c>
      <c r="C251" s="210" t="s">
        <v>43</v>
      </c>
      <c r="D251" s="209" t="s">
        <v>209</v>
      </c>
      <c r="E251" s="205">
        <v>6435614059.7873821</v>
      </c>
    </row>
    <row r="252" spans="1:5" x14ac:dyDescent="0.25">
      <c r="A252" s="201" t="s">
        <v>214</v>
      </c>
      <c r="B252" s="207" t="s">
        <v>212</v>
      </c>
      <c r="C252" s="210" t="s">
        <v>43</v>
      </c>
      <c r="D252" s="209" t="s">
        <v>210</v>
      </c>
      <c r="E252" s="205">
        <v>196330474380.70325</v>
      </c>
    </row>
    <row r="253" spans="1:5" x14ac:dyDescent="0.25">
      <c r="A253" s="201" t="s">
        <v>214</v>
      </c>
      <c r="B253" s="207" t="s">
        <v>212</v>
      </c>
      <c r="C253" s="210" t="s">
        <v>43</v>
      </c>
      <c r="D253" s="209" t="s">
        <v>211</v>
      </c>
      <c r="E253" s="205">
        <v>7037987086.3477917</v>
      </c>
    </row>
    <row r="254" spans="1:5" x14ac:dyDescent="0.25">
      <c r="A254" s="201" t="s">
        <v>214</v>
      </c>
      <c r="B254" s="211" t="s">
        <v>213</v>
      </c>
      <c r="C254" s="212" t="s">
        <v>11</v>
      </c>
      <c r="D254" s="213" t="s">
        <v>209</v>
      </c>
      <c r="E254" s="205">
        <v>172425724604.01987</v>
      </c>
    </row>
    <row r="255" spans="1:5" x14ac:dyDescent="0.25">
      <c r="A255" s="201" t="s">
        <v>214</v>
      </c>
      <c r="B255" s="211" t="s">
        <v>213</v>
      </c>
      <c r="C255" s="212" t="s">
        <v>11</v>
      </c>
      <c r="D255" s="213" t="s">
        <v>210</v>
      </c>
      <c r="E255" s="205">
        <v>235267908729.36011</v>
      </c>
    </row>
    <row r="256" spans="1:5" x14ac:dyDescent="0.25">
      <c r="A256" s="201" t="s">
        <v>214</v>
      </c>
      <c r="B256" s="211" t="s">
        <v>213</v>
      </c>
      <c r="C256" s="212" t="s">
        <v>11</v>
      </c>
      <c r="D256" s="213" t="s">
        <v>211</v>
      </c>
      <c r="E256" s="205">
        <v>25333575248.965984</v>
      </c>
    </row>
    <row r="257" spans="1:5" x14ac:dyDescent="0.25">
      <c r="A257" s="201" t="s">
        <v>214</v>
      </c>
      <c r="B257" s="211" t="s">
        <v>213</v>
      </c>
      <c r="C257" s="212" t="s">
        <v>11</v>
      </c>
      <c r="D257" s="213" t="s">
        <v>209</v>
      </c>
      <c r="E257" s="205">
        <v>567827104144.76343</v>
      </c>
    </row>
    <row r="258" spans="1:5" x14ac:dyDescent="0.25">
      <c r="A258" s="201" t="s">
        <v>214</v>
      </c>
      <c r="B258" s="211" t="s">
        <v>213</v>
      </c>
      <c r="C258" s="212" t="s">
        <v>11</v>
      </c>
      <c r="D258" s="213" t="s">
        <v>210</v>
      </c>
      <c r="E258" s="205">
        <v>800997704696.77417</v>
      </c>
    </row>
    <row r="259" spans="1:5" x14ac:dyDescent="0.25">
      <c r="A259" s="201" t="s">
        <v>214</v>
      </c>
      <c r="B259" s="211" t="s">
        <v>213</v>
      </c>
      <c r="C259" s="212" t="s">
        <v>11</v>
      </c>
      <c r="D259" s="213" t="s">
        <v>211</v>
      </c>
      <c r="E259" s="205">
        <v>5185181831.8552027</v>
      </c>
    </row>
    <row r="260" spans="1:5" x14ac:dyDescent="0.25">
      <c r="A260" s="201" t="s">
        <v>214</v>
      </c>
      <c r="B260" s="211" t="s">
        <v>213</v>
      </c>
      <c r="C260" s="212" t="s">
        <v>11</v>
      </c>
      <c r="D260" s="213" t="s">
        <v>209</v>
      </c>
      <c r="E260" s="205">
        <v>131183872550.50636</v>
      </c>
    </row>
    <row r="261" spans="1:5" x14ac:dyDescent="0.25">
      <c r="A261" s="201" t="s">
        <v>214</v>
      </c>
      <c r="B261" s="211" t="s">
        <v>213</v>
      </c>
      <c r="C261" s="212" t="s">
        <v>11</v>
      </c>
      <c r="D261" s="213" t="s">
        <v>210</v>
      </c>
      <c r="E261" s="205">
        <v>384143158.5117057</v>
      </c>
    </row>
    <row r="262" spans="1:5" x14ac:dyDescent="0.25">
      <c r="A262" s="201" t="s">
        <v>214</v>
      </c>
      <c r="B262" s="211" t="s">
        <v>213</v>
      </c>
      <c r="C262" s="212" t="s">
        <v>11</v>
      </c>
      <c r="D262" s="213" t="s">
        <v>211</v>
      </c>
      <c r="E262" s="205">
        <v>5734638592.6766806</v>
      </c>
    </row>
    <row r="263" spans="1:5" x14ac:dyDescent="0.25">
      <c r="A263" s="201" t="s">
        <v>214</v>
      </c>
      <c r="B263" s="211" t="s">
        <v>213</v>
      </c>
      <c r="C263" s="214" t="s">
        <v>43</v>
      </c>
      <c r="D263" s="213" t="s">
        <v>209</v>
      </c>
      <c r="E263" s="205">
        <v>408377789021.48126</v>
      </c>
    </row>
    <row r="264" spans="1:5" x14ac:dyDescent="0.25">
      <c r="A264" s="201" t="s">
        <v>214</v>
      </c>
      <c r="B264" s="211" t="s">
        <v>213</v>
      </c>
      <c r="C264" s="214" t="s">
        <v>43</v>
      </c>
      <c r="D264" s="213" t="s">
        <v>210</v>
      </c>
      <c r="E264" s="205">
        <v>320801324218.9657</v>
      </c>
    </row>
    <row r="265" spans="1:5" x14ac:dyDescent="0.25">
      <c r="A265" s="201" t="s">
        <v>214</v>
      </c>
      <c r="B265" s="211" t="s">
        <v>213</v>
      </c>
      <c r="C265" s="214" t="s">
        <v>43</v>
      </c>
      <c r="D265" s="213" t="s">
        <v>211</v>
      </c>
      <c r="E265" s="205">
        <v>29682500533.386932</v>
      </c>
    </row>
    <row r="266" spans="1:5" x14ac:dyDescent="0.25">
      <c r="A266" s="201" t="s">
        <v>214</v>
      </c>
      <c r="B266" s="211" t="s">
        <v>213</v>
      </c>
      <c r="C266" s="214" t="s">
        <v>43</v>
      </c>
      <c r="D266" s="213" t="s">
        <v>209</v>
      </c>
      <c r="E266" s="205">
        <v>67245283010.282852</v>
      </c>
    </row>
    <row r="267" spans="1:5" x14ac:dyDescent="0.25">
      <c r="A267" s="201" t="s">
        <v>214</v>
      </c>
      <c r="B267" s="211" t="s">
        <v>213</v>
      </c>
      <c r="C267" s="214" t="s">
        <v>43</v>
      </c>
      <c r="D267" s="213" t="s">
        <v>210</v>
      </c>
      <c r="E267" s="205">
        <v>709025918773.74353</v>
      </c>
    </row>
    <row r="268" spans="1:5" x14ac:dyDescent="0.25">
      <c r="A268" s="201" t="s">
        <v>214</v>
      </c>
      <c r="B268" s="211" t="s">
        <v>213</v>
      </c>
      <c r="C268" s="214" t="s">
        <v>43</v>
      </c>
      <c r="D268" s="213" t="s">
        <v>211</v>
      </c>
      <c r="E268" s="205">
        <v>583643293675.54138</v>
      </c>
    </row>
    <row r="269" spans="1:5" x14ac:dyDescent="0.25">
      <c r="A269" s="201" t="s">
        <v>214</v>
      </c>
      <c r="B269" s="211" t="s">
        <v>213</v>
      </c>
      <c r="C269" s="214" t="s">
        <v>43</v>
      </c>
      <c r="D269" s="213" t="s">
        <v>209</v>
      </c>
      <c r="E269" s="205">
        <v>1257064940119.3518</v>
      </c>
    </row>
    <row r="270" spans="1:5" x14ac:dyDescent="0.25">
      <c r="A270" s="201" t="s">
        <v>214</v>
      </c>
      <c r="B270" s="211" t="s">
        <v>213</v>
      </c>
      <c r="C270" s="214" t="s">
        <v>43</v>
      </c>
      <c r="D270" s="213" t="s">
        <v>210</v>
      </c>
      <c r="E270" s="205">
        <v>660883526987.46277</v>
      </c>
    </row>
    <row r="271" spans="1:5" x14ac:dyDescent="0.25">
      <c r="A271" s="201" t="s">
        <v>214</v>
      </c>
      <c r="B271" s="211" t="s">
        <v>213</v>
      </c>
      <c r="C271" s="214" t="s">
        <v>43</v>
      </c>
      <c r="D271" s="213" t="s">
        <v>211</v>
      </c>
      <c r="E271" s="205">
        <v>81778389589.791718</v>
      </c>
    </row>
    <row r="272" spans="1:5" x14ac:dyDescent="0.25">
      <c r="A272" s="201" t="s">
        <v>95</v>
      </c>
      <c r="B272" s="202" t="s">
        <v>208</v>
      </c>
      <c r="C272" s="203" t="s">
        <v>11</v>
      </c>
      <c r="D272" s="204" t="s">
        <v>209</v>
      </c>
      <c r="E272" s="205">
        <v>89311623310.792908</v>
      </c>
    </row>
    <row r="273" spans="1:5" x14ac:dyDescent="0.25">
      <c r="A273" s="201" t="s">
        <v>95</v>
      </c>
      <c r="B273" s="202" t="s">
        <v>208</v>
      </c>
      <c r="C273" s="203" t="s">
        <v>11</v>
      </c>
      <c r="D273" s="204" t="s">
        <v>210</v>
      </c>
      <c r="E273" s="205">
        <v>499135256835.03064</v>
      </c>
    </row>
    <row r="274" spans="1:5" x14ac:dyDescent="0.25">
      <c r="A274" s="201" t="s">
        <v>95</v>
      </c>
      <c r="B274" s="202" t="s">
        <v>208</v>
      </c>
      <c r="C274" s="203" t="s">
        <v>11</v>
      </c>
      <c r="D274" s="204" t="s">
        <v>211</v>
      </c>
      <c r="E274" s="205">
        <v>5085810210.9836855</v>
      </c>
    </row>
    <row r="275" spans="1:5" x14ac:dyDescent="0.25">
      <c r="A275" s="201" t="s">
        <v>95</v>
      </c>
      <c r="B275" s="202" t="s">
        <v>208</v>
      </c>
      <c r="C275" s="203" t="s">
        <v>11</v>
      </c>
      <c r="D275" s="204" t="s">
        <v>209</v>
      </c>
      <c r="E275" s="205">
        <v>384426385344.68433</v>
      </c>
    </row>
    <row r="276" spans="1:5" x14ac:dyDescent="0.25">
      <c r="A276" s="201" t="s">
        <v>95</v>
      </c>
      <c r="B276" s="202" t="s">
        <v>208</v>
      </c>
      <c r="C276" s="203" t="s">
        <v>11</v>
      </c>
      <c r="D276" s="204" t="s">
        <v>210</v>
      </c>
      <c r="E276" s="205">
        <v>1224239537677.0293</v>
      </c>
    </row>
    <row r="277" spans="1:5" x14ac:dyDescent="0.25">
      <c r="A277" s="201" t="s">
        <v>95</v>
      </c>
      <c r="B277" s="202" t="s">
        <v>208</v>
      </c>
      <c r="C277" s="203" t="s">
        <v>11</v>
      </c>
      <c r="D277" s="204" t="s">
        <v>211</v>
      </c>
      <c r="E277" s="205">
        <v>4599840987.9229136</v>
      </c>
    </row>
    <row r="278" spans="1:5" x14ac:dyDescent="0.25">
      <c r="A278" s="201" t="s">
        <v>95</v>
      </c>
      <c r="B278" s="202" t="s">
        <v>208</v>
      </c>
      <c r="C278" s="203" t="s">
        <v>11</v>
      </c>
      <c r="D278" s="204" t="s">
        <v>209</v>
      </c>
      <c r="E278" s="205">
        <v>9045505561.1437702</v>
      </c>
    </row>
    <row r="279" spans="1:5" x14ac:dyDescent="0.25">
      <c r="A279" s="201" t="s">
        <v>95</v>
      </c>
      <c r="B279" s="202" t="s">
        <v>208</v>
      </c>
      <c r="C279" s="203" t="s">
        <v>11</v>
      </c>
      <c r="D279" s="204" t="s">
        <v>210</v>
      </c>
      <c r="E279" s="205">
        <v>489209386827.89526</v>
      </c>
    </row>
    <row r="280" spans="1:5" x14ac:dyDescent="0.25">
      <c r="A280" s="201" t="s">
        <v>95</v>
      </c>
      <c r="B280" s="202" t="s">
        <v>208</v>
      </c>
      <c r="C280" s="203" t="s">
        <v>11</v>
      </c>
      <c r="D280" s="204" t="s">
        <v>211</v>
      </c>
      <c r="E280" s="205">
        <v>12727167771.206709</v>
      </c>
    </row>
    <row r="281" spans="1:5" x14ac:dyDescent="0.25">
      <c r="A281" s="201" t="s">
        <v>95</v>
      </c>
      <c r="B281" s="202" t="s">
        <v>208</v>
      </c>
      <c r="C281" s="206" t="s">
        <v>43</v>
      </c>
      <c r="D281" s="204" t="s">
        <v>209</v>
      </c>
      <c r="E281" s="205">
        <v>1107258621700.1992</v>
      </c>
    </row>
    <row r="282" spans="1:5" x14ac:dyDescent="0.25">
      <c r="A282" s="201" t="s">
        <v>95</v>
      </c>
      <c r="B282" s="202" t="s">
        <v>208</v>
      </c>
      <c r="C282" s="206" t="s">
        <v>43</v>
      </c>
      <c r="D282" s="204" t="s">
        <v>210</v>
      </c>
      <c r="E282" s="205">
        <v>1447311297859.3169</v>
      </c>
    </row>
    <row r="283" spans="1:5" x14ac:dyDescent="0.25">
      <c r="A283" s="201" t="s">
        <v>95</v>
      </c>
      <c r="B283" s="202" t="s">
        <v>208</v>
      </c>
      <c r="C283" s="206" t="s">
        <v>43</v>
      </c>
      <c r="D283" s="204" t="s">
        <v>211</v>
      </c>
      <c r="E283" s="205">
        <v>69248559792.020508</v>
      </c>
    </row>
    <row r="284" spans="1:5" x14ac:dyDescent="0.25">
      <c r="A284" s="201" t="s">
        <v>95</v>
      </c>
      <c r="B284" s="202" t="s">
        <v>208</v>
      </c>
      <c r="C284" s="206" t="s">
        <v>43</v>
      </c>
      <c r="D284" s="204" t="s">
        <v>209</v>
      </c>
      <c r="E284" s="205">
        <v>340778660380.01282</v>
      </c>
    </row>
    <row r="285" spans="1:5" x14ac:dyDescent="0.25">
      <c r="A285" s="201" t="s">
        <v>95</v>
      </c>
      <c r="B285" s="202" t="s">
        <v>208</v>
      </c>
      <c r="C285" s="206" t="s">
        <v>43</v>
      </c>
      <c r="D285" s="204" t="s">
        <v>210</v>
      </c>
      <c r="E285" s="205">
        <v>331773048397.0686</v>
      </c>
    </row>
    <row r="286" spans="1:5" x14ac:dyDescent="0.25">
      <c r="A286" s="201" t="s">
        <v>95</v>
      </c>
      <c r="B286" s="202" t="s">
        <v>208</v>
      </c>
      <c r="C286" s="206" t="s">
        <v>43</v>
      </c>
      <c r="D286" s="204" t="s">
        <v>211</v>
      </c>
      <c r="E286" s="205">
        <v>1075834422.3589218</v>
      </c>
    </row>
    <row r="287" spans="1:5" x14ac:dyDescent="0.25">
      <c r="A287" s="201" t="s">
        <v>95</v>
      </c>
      <c r="B287" s="202" t="s">
        <v>208</v>
      </c>
      <c r="C287" s="206" t="s">
        <v>43</v>
      </c>
      <c r="D287" s="204" t="s">
        <v>209</v>
      </c>
      <c r="E287" s="205">
        <v>235325956.43460292</v>
      </c>
    </row>
    <row r="288" spans="1:5" x14ac:dyDescent="0.25">
      <c r="A288" s="201" t="s">
        <v>95</v>
      </c>
      <c r="B288" s="202" t="s">
        <v>208</v>
      </c>
      <c r="C288" s="206" t="s">
        <v>43</v>
      </c>
      <c r="D288" s="204" t="s">
        <v>210</v>
      </c>
      <c r="E288" s="205">
        <v>966541004.34277523</v>
      </c>
    </row>
    <row r="289" spans="1:5" x14ac:dyDescent="0.25">
      <c r="A289" s="201" t="s">
        <v>95</v>
      </c>
      <c r="B289" s="202" t="s">
        <v>208</v>
      </c>
      <c r="C289" s="206" t="s">
        <v>43</v>
      </c>
      <c r="D289" s="204" t="s">
        <v>211</v>
      </c>
      <c r="E289" s="205">
        <v>1165840935.3693922</v>
      </c>
    </row>
    <row r="290" spans="1:5" x14ac:dyDescent="0.25">
      <c r="A290" s="201" t="s">
        <v>95</v>
      </c>
      <c r="B290" s="207" t="s">
        <v>212</v>
      </c>
      <c r="C290" s="208" t="s">
        <v>11</v>
      </c>
      <c r="D290" s="209" t="s">
        <v>209</v>
      </c>
      <c r="E290" s="205">
        <v>12308146556.441687</v>
      </c>
    </row>
    <row r="291" spans="1:5" x14ac:dyDescent="0.25">
      <c r="A291" s="201" t="s">
        <v>95</v>
      </c>
      <c r="B291" s="207" t="s">
        <v>212</v>
      </c>
      <c r="C291" s="208" t="s">
        <v>11</v>
      </c>
      <c r="D291" s="209" t="s">
        <v>210</v>
      </c>
      <c r="E291" s="205">
        <v>1160389592316.7415</v>
      </c>
    </row>
    <row r="292" spans="1:5" x14ac:dyDescent="0.25">
      <c r="A292" s="201" t="s">
        <v>95</v>
      </c>
      <c r="B292" s="207" t="s">
        <v>212</v>
      </c>
      <c r="C292" s="208" t="s">
        <v>11</v>
      </c>
      <c r="D292" s="209" t="s">
        <v>211</v>
      </c>
      <c r="E292" s="205">
        <v>4359937287.130682</v>
      </c>
    </row>
    <row r="293" spans="1:5" x14ac:dyDescent="0.25">
      <c r="A293" s="201" t="s">
        <v>95</v>
      </c>
      <c r="B293" s="207" t="s">
        <v>212</v>
      </c>
      <c r="C293" s="208" t="s">
        <v>11</v>
      </c>
      <c r="D293" s="209" t="s">
        <v>209</v>
      </c>
      <c r="E293" s="205">
        <v>425040700556.99823</v>
      </c>
    </row>
    <row r="294" spans="1:5" x14ac:dyDescent="0.25">
      <c r="A294" s="201" t="s">
        <v>95</v>
      </c>
      <c r="B294" s="207" t="s">
        <v>212</v>
      </c>
      <c r="C294" s="208" t="s">
        <v>11</v>
      </c>
      <c r="D294" s="209" t="s">
        <v>210</v>
      </c>
      <c r="E294" s="205">
        <v>1643654643686.0425</v>
      </c>
    </row>
    <row r="295" spans="1:5" x14ac:dyDescent="0.25">
      <c r="A295" s="201" t="s">
        <v>95</v>
      </c>
      <c r="B295" s="207" t="s">
        <v>212</v>
      </c>
      <c r="C295" s="208" t="s">
        <v>11</v>
      </c>
      <c r="D295" s="209" t="s">
        <v>211</v>
      </c>
      <c r="E295" s="205">
        <v>6258966581.0259066</v>
      </c>
    </row>
    <row r="296" spans="1:5" x14ac:dyDescent="0.25">
      <c r="A296" s="201" t="s">
        <v>95</v>
      </c>
      <c r="B296" s="207" t="s">
        <v>212</v>
      </c>
      <c r="C296" s="208" t="s">
        <v>11</v>
      </c>
      <c r="D296" s="209" t="s">
        <v>209</v>
      </c>
      <c r="E296" s="205">
        <v>23250685021.995354</v>
      </c>
    </row>
    <row r="297" spans="1:5" x14ac:dyDescent="0.25">
      <c r="A297" s="201" t="s">
        <v>95</v>
      </c>
      <c r="B297" s="207" t="s">
        <v>212</v>
      </c>
      <c r="C297" s="208" t="s">
        <v>11</v>
      </c>
      <c r="D297" s="209" t="s">
        <v>210</v>
      </c>
      <c r="E297" s="205">
        <v>1160389592316.7415</v>
      </c>
    </row>
    <row r="298" spans="1:5" x14ac:dyDescent="0.25">
      <c r="A298" s="201" t="s">
        <v>95</v>
      </c>
      <c r="B298" s="207" t="s">
        <v>212</v>
      </c>
      <c r="C298" s="208" t="s">
        <v>11</v>
      </c>
      <c r="D298" s="209" t="s">
        <v>211</v>
      </c>
      <c r="E298" s="205">
        <v>4418713935.546217</v>
      </c>
    </row>
    <row r="299" spans="1:5" x14ac:dyDescent="0.25">
      <c r="A299" s="201" t="s">
        <v>95</v>
      </c>
      <c r="B299" s="207" t="s">
        <v>212</v>
      </c>
      <c r="C299" s="210" t="s">
        <v>43</v>
      </c>
      <c r="D299" s="209" t="s">
        <v>209</v>
      </c>
      <c r="E299" s="205">
        <v>373516295.21003366</v>
      </c>
    </row>
    <row r="300" spans="1:5" x14ac:dyDescent="0.25">
      <c r="A300" s="201" t="s">
        <v>95</v>
      </c>
      <c r="B300" s="207" t="s">
        <v>212</v>
      </c>
      <c r="C300" s="210" t="s">
        <v>43</v>
      </c>
      <c r="D300" s="209" t="s">
        <v>210</v>
      </c>
      <c r="E300" s="205">
        <v>84088689606.692825</v>
      </c>
    </row>
    <row r="301" spans="1:5" x14ac:dyDescent="0.25">
      <c r="A301" s="201" t="s">
        <v>95</v>
      </c>
      <c r="B301" s="207" t="s">
        <v>212</v>
      </c>
      <c r="C301" s="210" t="s">
        <v>43</v>
      </c>
      <c r="D301" s="209" t="s">
        <v>211</v>
      </c>
      <c r="E301" s="205">
        <v>143380800.72183245</v>
      </c>
    </row>
    <row r="302" spans="1:5" x14ac:dyDescent="0.25">
      <c r="A302" s="201" t="s">
        <v>95</v>
      </c>
      <c r="B302" s="207" t="s">
        <v>212</v>
      </c>
      <c r="C302" s="210" t="s">
        <v>43</v>
      </c>
      <c r="D302" s="209" t="s">
        <v>209</v>
      </c>
      <c r="E302" s="205">
        <v>30391254993.01247</v>
      </c>
    </row>
    <row r="303" spans="1:5" x14ac:dyDescent="0.25">
      <c r="A303" s="201" t="s">
        <v>95</v>
      </c>
      <c r="B303" s="207" t="s">
        <v>212</v>
      </c>
      <c r="C303" s="210" t="s">
        <v>43</v>
      </c>
      <c r="D303" s="209" t="s">
        <v>210</v>
      </c>
      <c r="E303" s="205">
        <v>77596783630.925751</v>
      </c>
    </row>
    <row r="304" spans="1:5" x14ac:dyDescent="0.25">
      <c r="A304" s="201" t="s">
        <v>95</v>
      </c>
      <c r="B304" s="207" t="s">
        <v>212</v>
      </c>
      <c r="C304" s="210" t="s">
        <v>43</v>
      </c>
      <c r="D304" s="209" t="s">
        <v>211</v>
      </c>
      <c r="E304" s="205">
        <v>356414036.24717748</v>
      </c>
    </row>
    <row r="305" spans="1:5" x14ac:dyDescent="0.25">
      <c r="A305" s="201" t="s">
        <v>95</v>
      </c>
      <c r="B305" s="207" t="s">
        <v>212</v>
      </c>
      <c r="C305" s="210" t="s">
        <v>43</v>
      </c>
      <c r="D305" s="209" t="s">
        <v>209</v>
      </c>
      <c r="E305" s="205">
        <v>851082507.38881814</v>
      </c>
    </row>
    <row r="306" spans="1:5" x14ac:dyDescent="0.25">
      <c r="A306" s="201" t="s">
        <v>95</v>
      </c>
      <c r="B306" s="207" t="s">
        <v>212</v>
      </c>
      <c r="C306" s="210" t="s">
        <v>43</v>
      </c>
      <c r="D306" s="209" t="s">
        <v>210</v>
      </c>
      <c r="E306" s="205">
        <v>137090889317.03535</v>
      </c>
    </row>
    <row r="307" spans="1:5" x14ac:dyDescent="0.25">
      <c r="A307" s="201" t="s">
        <v>95</v>
      </c>
      <c r="B307" s="207" t="s">
        <v>212</v>
      </c>
      <c r="C307" s="210" t="s">
        <v>43</v>
      </c>
      <c r="D307" s="209" t="s">
        <v>211</v>
      </c>
      <c r="E307" s="205">
        <v>1341848741.5052595</v>
      </c>
    </row>
    <row r="308" spans="1:5" x14ac:dyDescent="0.25">
      <c r="A308" s="201" t="s">
        <v>95</v>
      </c>
      <c r="B308" s="211" t="s">
        <v>213</v>
      </c>
      <c r="C308" s="212" t="s">
        <v>11</v>
      </c>
      <c r="D308" s="213" t="s">
        <v>209</v>
      </c>
      <c r="E308" s="205">
        <v>22485194187.178482</v>
      </c>
    </row>
    <row r="309" spans="1:5" x14ac:dyDescent="0.25">
      <c r="A309" s="201" t="s">
        <v>95</v>
      </c>
      <c r="B309" s="211" t="s">
        <v>213</v>
      </c>
      <c r="C309" s="212" t="s">
        <v>11</v>
      </c>
      <c r="D309" s="213" t="s">
        <v>210</v>
      </c>
      <c r="E309" s="205">
        <v>213267583697.51831</v>
      </c>
    </row>
    <row r="310" spans="1:5" x14ac:dyDescent="0.25">
      <c r="A310" s="201" t="s">
        <v>95</v>
      </c>
      <c r="B310" s="211" t="s">
        <v>213</v>
      </c>
      <c r="C310" s="212" t="s">
        <v>11</v>
      </c>
      <c r="D310" s="213" t="s">
        <v>211</v>
      </c>
      <c r="E310" s="205">
        <v>2247014424.7041492</v>
      </c>
    </row>
    <row r="311" spans="1:5" x14ac:dyDescent="0.25">
      <c r="A311" s="201" t="s">
        <v>95</v>
      </c>
      <c r="B311" s="211" t="s">
        <v>213</v>
      </c>
      <c r="C311" s="212" t="s">
        <v>11</v>
      </c>
      <c r="D311" s="213" t="s">
        <v>209</v>
      </c>
      <c r="E311" s="205">
        <v>512683730623.90784</v>
      </c>
    </row>
    <row r="312" spans="1:5" x14ac:dyDescent="0.25">
      <c r="A312" s="201" t="s">
        <v>95</v>
      </c>
      <c r="B312" s="211" t="s">
        <v>213</v>
      </c>
      <c r="C312" s="212" t="s">
        <v>11</v>
      </c>
      <c r="D312" s="213" t="s">
        <v>210</v>
      </c>
      <c r="E312" s="205">
        <v>1381042990603.9712</v>
      </c>
    </row>
    <row r="313" spans="1:5" x14ac:dyDescent="0.25">
      <c r="A313" s="201" t="s">
        <v>95</v>
      </c>
      <c r="B313" s="211" t="s">
        <v>213</v>
      </c>
      <c r="C313" s="212" t="s">
        <v>11</v>
      </c>
      <c r="D313" s="213" t="s">
        <v>211</v>
      </c>
      <c r="E313" s="205">
        <v>874184199.53664446</v>
      </c>
    </row>
    <row r="314" spans="1:5" x14ac:dyDescent="0.25">
      <c r="A314" s="201" t="s">
        <v>95</v>
      </c>
      <c r="B314" s="211" t="s">
        <v>213</v>
      </c>
      <c r="C314" s="212" t="s">
        <v>11</v>
      </c>
      <c r="D314" s="213" t="s">
        <v>209</v>
      </c>
      <c r="E314" s="205">
        <v>47596247173.865379</v>
      </c>
    </row>
    <row r="315" spans="1:5" x14ac:dyDescent="0.25">
      <c r="A315" s="201" t="s">
        <v>95</v>
      </c>
      <c r="B315" s="211" t="s">
        <v>213</v>
      </c>
      <c r="C315" s="212" t="s">
        <v>11</v>
      </c>
      <c r="D315" s="213" t="s">
        <v>210</v>
      </c>
      <c r="E315" s="205">
        <v>1006160388.0981935</v>
      </c>
    </row>
    <row r="316" spans="1:5" x14ac:dyDescent="0.25">
      <c r="A316" s="201" t="s">
        <v>95</v>
      </c>
      <c r="B316" s="211" t="s">
        <v>213</v>
      </c>
      <c r="C316" s="212" t="s">
        <v>11</v>
      </c>
      <c r="D316" s="213" t="s">
        <v>211</v>
      </c>
      <c r="E316" s="205">
        <v>1105036756.3413494</v>
      </c>
    </row>
    <row r="317" spans="1:5" x14ac:dyDescent="0.25">
      <c r="A317" s="201" t="s">
        <v>95</v>
      </c>
      <c r="B317" s="211" t="s">
        <v>213</v>
      </c>
      <c r="C317" s="214" t="s">
        <v>43</v>
      </c>
      <c r="D317" s="213" t="s">
        <v>209</v>
      </c>
      <c r="E317" s="205">
        <v>78642871812.770599</v>
      </c>
    </row>
    <row r="318" spans="1:5" x14ac:dyDescent="0.25">
      <c r="A318" s="201" t="s">
        <v>95</v>
      </c>
      <c r="B318" s="211" t="s">
        <v>213</v>
      </c>
      <c r="C318" s="214" t="s">
        <v>43</v>
      </c>
      <c r="D318" s="213" t="s">
        <v>210</v>
      </c>
      <c r="E318" s="205">
        <v>107008722215.48268</v>
      </c>
    </row>
    <row r="319" spans="1:5" x14ac:dyDescent="0.25">
      <c r="A319" s="201" t="s">
        <v>95</v>
      </c>
      <c r="B319" s="211" t="s">
        <v>213</v>
      </c>
      <c r="C319" s="214" t="s">
        <v>43</v>
      </c>
      <c r="D319" s="213" t="s">
        <v>211</v>
      </c>
      <c r="E319" s="205">
        <v>1181557726.2895072</v>
      </c>
    </row>
    <row r="320" spans="1:5" x14ac:dyDescent="0.25">
      <c r="A320" s="201" t="s">
        <v>95</v>
      </c>
      <c r="B320" s="211" t="s">
        <v>213</v>
      </c>
      <c r="C320" s="214" t="s">
        <v>43</v>
      </c>
      <c r="D320" s="213" t="s">
        <v>209</v>
      </c>
      <c r="E320" s="205">
        <v>9736859143.8048382</v>
      </c>
    </row>
    <row r="321" spans="1:5" x14ac:dyDescent="0.25">
      <c r="A321" s="201" t="s">
        <v>95</v>
      </c>
      <c r="B321" s="211" t="s">
        <v>213</v>
      </c>
      <c r="C321" s="214" t="s">
        <v>43</v>
      </c>
      <c r="D321" s="213" t="s">
        <v>210</v>
      </c>
      <c r="E321" s="205">
        <v>516127925933.66125</v>
      </c>
    </row>
    <row r="322" spans="1:5" x14ac:dyDescent="0.25">
      <c r="A322" s="201" t="s">
        <v>95</v>
      </c>
      <c r="B322" s="211" t="s">
        <v>213</v>
      </c>
      <c r="C322" s="214" t="s">
        <v>43</v>
      </c>
      <c r="D322" s="213" t="s">
        <v>211</v>
      </c>
      <c r="E322" s="205">
        <v>92972586955.243729</v>
      </c>
    </row>
    <row r="323" spans="1:5" x14ac:dyDescent="0.25">
      <c r="A323" s="201" t="s">
        <v>95</v>
      </c>
      <c r="B323" s="211" t="s">
        <v>213</v>
      </c>
      <c r="C323" s="214" t="s">
        <v>43</v>
      </c>
      <c r="D323" s="213" t="s">
        <v>209</v>
      </c>
      <c r="E323" s="205">
        <v>582234793460.56982</v>
      </c>
    </row>
    <row r="324" spans="1:5" x14ac:dyDescent="0.25">
      <c r="A324" s="201" t="s">
        <v>95</v>
      </c>
      <c r="B324" s="211" t="s">
        <v>213</v>
      </c>
      <c r="C324" s="214" t="s">
        <v>43</v>
      </c>
      <c r="D324" s="213" t="s">
        <v>210</v>
      </c>
      <c r="E324" s="205">
        <v>858522799470.49548</v>
      </c>
    </row>
    <row r="325" spans="1:5" x14ac:dyDescent="0.25">
      <c r="A325" s="201" t="s">
        <v>95</v>
      </c>
      <c r="B325" s="211" t="s">
        <v>213</v>
      </c>
      <c r="C325" s="214" t="s">
        <v>43</v>
      </c>
      <c r="D325" s="213" t="s">
        <v>211</v>
      </c>
      <c r="E325" s="205">
        <v>15980770641.183744</v>
      </c>
    </row>
    <row r="326" spans="1:5" x14ac:dyDescent="0.25">
      <c r="A326" s="201" t="s">
        <v>97</v>
      </c>
      <c r="B326" s="202" t="s">
        <v>208</v>
      </c>
      <c r="C326" s="203" t="s">
        <v>11</v>
      </c>
      <c r="D326" s="204" t="s">
        <v>209</v>
      </c>
      <c r="E326" s="205">
        <v>39603992448.742531</v>
      </c>
    </row>
    <row r="327" spans="1:5" x14ac:dyDescent="0.25">
      <c r="A327" s="201" t="s">
        <v>97</v>
      </c>
      <c r="B327" s="202" t="s">
        <v>208</v>
      </c>
      <c r="C327" s="203" t="s">
        <v>11</v>
      </c>
      <c r="D327" s="204" t="s">
        <v>210</v>
      </c>
      <c r="E327" s="205">
        <v>10617144615.913322</v>
      </c>
    </row>
    <row r="328" spans="1:5" x14ac:dyDescent="0.25">
      <c r="A328" s="201" t="s">
        <v>97</v>
      </c>
      <c r="B328" s="202" t="s">
        <v>208</v>
      </c>
      <c r="C328" s="203" t="s">
        <v>11</v>
      </c>
      <c r="D328" s="204" t="s">
        <v>211</v>
      </c>
      <c r="E328" s="205">
        <v>11829800751.101637</v>
      </c>
    </row>
    <row r="329" spans="1:5" x14ac:dyDescent="0.25">
      <c r="A329" s="201" t="s">
        <v>97</v>
      </c>
      <c r="B329" s="202" t="s">
        <v>208</v>
      </c>
      <c r="C329" s="203" t="s">
        <v>11</v>
      </c>
      <c r="D329" s="204" t="s">
        <v>209</v>
      </c>
      <c r="E329" s="205">
        <v>10598640397.004381</v>
      </c>
    </row>
    <row r="330" spans="1:5" x14ac:dyDescent="0.25">
      <c r="A330" s="201" t="s">
        <v>97</v>
      </c>
      <c r="B330" s="202" t="s">
        <v>208</v>
      </c>
      <c r="C330" s="203" t="s">
        <v>11</v>
      </c>
      <c r="D330" s="204" t="s">
        <v>210</v>
      </c>
      <c r="E330" s="205">
        <v>10607888471.654316</v>
      </c>
    </row>
    <row r="331" spans="1:5" x14ac:dyDescent="0.25">
      <c r="A331" s="201" t="s">
        <v>97</v>
      </c>
      <c r="B331" s="202" t="s">
        <v>208</v>
      </c>
      <c r="C331" s="203" t="s">
        <v>11</v>
      </c>
      <c r="D331" s="204" t="s">
        <v>211</v>
      </c>
      <c r="E331" s="205">
        <v>12318368378.945957</v>
      </c>
    </row>
    <row r="332" spans="1:5" x14ac:dyDescent="0.25">
      <c r="A332" s="201" t="s">
        <v>97</v>
      </c>
      <c r="B332" s="202" t="s">
        <v>208</v>
      </c>
      <c r="C332" s="203" t="s">
        <v>11</v>
      </c>
      <c r="D332" s="204" t="s">
        <v>209</v>
      </c>
      <c r="E332" s="205">
        <v>10762590685.106581</v>
      </c>
    </row>
    <row r="333" spans="1:5" x14ac:dyDescent="0.25">
      <c r="A333" s="201" t="s">
        <v>97</v>
      </c>
      <c r="B333" s="202" t="s">
        <v>208</v>
      </c>
      <c r="C333" s="203" t="s">
        <v>11</v>
      </c>
      <c r="D333" s="204" t="s">
        <v>210</v>
      </c>
      <c r="E333" s="205">
        <v>10587553349.403349</v>
      </c>
    </row>
    <row r="334" spans="1:5" x14ac:dyDescent="0.25">
      <c r="A334" s="201" t="s">
        <v>97</v>
      </c>
      <c r="B334" s="202" t="s">
        <v>208</v>
      </c>
      <c r="C334" s="203" t="s">
        <v>11</v>
      </c>
      <c r="D334" s="204" t="s">
        <v>211</v>
      </c>
      <c r="E334" s="205">
        <v>11332900251.015947</v>
      </c>
    </row>
    <row r="335" spans="1:5" x14ac:dyDescent="0.25">
      <c r="A335" s="201" t="s">
        <v>97</v>
      </c>
      <c r="B335" s="202" t="s">
        <v>208</v>
      </c>
      <c r="C335" s="206" t="s">
        <v>43</v>
      </c>
      <c r="D335" s="204" t="s">
        <v>209</v>
      </c>
      <c r="E335" s="205">
        <v>10663546628.005608</v>
      </c>
    </row>
    <row r="336" spans="1:5" x14ac:dyDescent="0.25">
      <c r="A336" s="201" t="s">
        <v>97</v>
      </c>
      <c r="B336" s="202" t="s">
        <v>208</v>
      </c>
      <c r="C336" s="206" t="s">
        <v>43</v>
      </c>
      <c r="D336" s="204" t="s">
        <v>210</v>
      </c>
      <c r="E336" s="205">
        <v>10435367134.567245</v>
      </c>
    </row>
    <row r="337" spans="1:5" x14ac:dyDescent="0.25">
      <c r="A337" s="201" t="s">
        <v>97</v>
      </c>
      <c r="B337" s="202" t="s">
        <v>208</v>
      </c>
      <c r="C337" s="206" t="s">
        <v>43</v>
      </c>
      <c r="D337" s="204" t="s">
        <v>211</v>
      </c>
      <c r="E337" s="205">
        <v>11160262238.891342</v>
      </c>
    </row>
    <row r="338" spans="1:5" x14ac:dyDescent="0.25">
      <c r="A338" s="201" t="s">
        <v>97</v>
      </c>
      <c r="B338" s="202" t="s">
        <v>208</v>
      </c>
      <c r="C338" s="206" t="s">
        <v>43</v>
      </c>
      <c r="D338" s="204" t="s">
        <v>209</v>
      </c>
      <c r="E338" s="205">
        <v>10630116788.227011</v>
      </c>
    </row>
    <row r="339" spans="1:5" x14ac:dyDescent="0.25">
      <c r="A339" s="201" t="s">
        <v>97</v>
      </c>
      <c r="B339" s="202" t="s">
        <v>208</v>
      </c>
      <c r="C339" s="206" t="s">
        <v>43</v>
      </c>
      <c r="D339" s="204" t="s">
        <v>210</v>
      </c>
      <c r="E339" s="205">
        <v>10569100703.991154</v>
      </c>
    </row>
    <row r="340" spans="1:5" x14ac:dyDescent="0.25">
      <c r="A340" s="201" t="s">
        <v>97</v>
      </c>
      <c r="B340" s="202" t="s">
        <v>208</v>
      </c>
      <c r="C340" s="206" t="s">
        <v>43</v>
      </c>
      <c r="D340" s="204" t="s">
        <v>211</v>
      </c>
      <c r="E340" s="205">
        <v>12273326237.717896</v>
      </c>
    </row>
    <row r="341" spans="1:5" x14ac:dyDescent="0.25">
      <c r="A341" s="201" t="s">
        <v>97</v>
      </c>
      <c r="B341" s="202" t="s">
        <v>208</v>
      </c>
      <c r="C341" s="206" t="s">
        <v>43</v>
      </c>
      <c r="D341" s="204" t="s">
        <v>209</v>
      </c>
      <c r="E341" s="205">
        <v>10984504223.739285</v>
      </c>
    </row>
    <row r="342" spans="1:5" x14ac:dyDescent="0.25">
      <c r="A342" s="201" t="s">
        <v>97</v>
      </c>
      <c r="B342" s="202" t="s">
        <v>208</v>
      </c>
      <c r="C342" s="206" t="s">
        <v>43</v>
      </c>
      <c r="D342" s="204" t="s">
        <v>210</v>
      </c>
      <c r="E342" s="205">
        <v>10554361745.852955</v>
      </c>
    </row>
    <row r="343" spans="1:5" x14ac:dyDescent="0.25">
      <c r="A343" s="201" t="s">
        <v>97</v>
      </c>
      <c r="B343" s="202" t="s">
        <v>208</v>
      </c>
      <c r="C343" s="206" t="s">
        <v>43</v>
      </c>
      <c r="D343" s="204" t="s">
        <v>211</v>
      </c>
      <c r="E343" s="205">
        <v>11629289646.24053</v>
      </c>
    </row>
    <row r="344" spans="1:5" x14ac:dyDescent="0.25">
      <c r="A344" s="201" t="s">
        <v>97</v>
      </c>
      <c r="B344" s="207" t="s">
        <v>212</v>
      </c>
      <c r="C344" s="208" t="s">
        <v>11</v>
      </c>
      <c r="D344" s="209" t="s">
        <v>209</v>
      </c>
      <c r="E344" s="205">
        <v>10822835717.8407</v>
      </c>
    </row>
    <row r="345" spans="1:5" x14ac:dyDescent="0.25">
      <c r="A345" s="201" t="s">
        <v>97</v>
      </c>
      <c r="B345" s="207" t="s">
        <v>212</v>
      </c>
      <c r="C345" s="208" t="s">
        <v>11</v>
      </c>
      <c r="D345" s="209" t="s">
        <v>210</v>
      </c>
      <c r="E345" s="205">
        <v>10633826033.474199</v>
      </c>
    </row>
    <row r="346" spans="1:5" x14ac:dyDescent="0.25">
      <c r="A346" s="201" t="s">
        <v>97</v>
      </c>
      <c r="B346" s="207" t="s">
        <v>212</v>
      </c>
      <c r="C346" s="208" t="s">
        <v>11</v>
      </c>
      <c r="D346" s="209" t="s">
        <v>211</v>
      </c>
      <c r="E346" s="205">
        <v>11739351231.782309</v>
      </c>
    </row>
    <row r="347" spans="1:5" x14ac:dyDescent="0.25">
      <c r="A347" s="201" t="s">
        <v>97</v>
      </c>
      <c r="B347" s="207" t="s">
        <v>212</v>
      </c>
      <c r="C347" s="208" t="s">
        <v>11</v>
      </c>
      <c r="D347" s="209" t="s">
        <v>209</v>
      </c>
      <c r="E347" s="205">
        <v>10524945462.797331</v>
      </c>
    </row>
    <row r="348" spans="1:5" x14ac:dyDescent="0.25">
      <c r="A348" s="201" t="s">
        <v>97</v>
      </c>
      <c r="B348" s="207" t="s">
        <v>212</v>
      </c>
      <c r="C348" s="208" t="s">
        <v>11</v>
      </c>
      <c r="D348" s="209" t="s">
        <v>210</v>
      </c>
      <c r="E348" s="205">
        <v>10462707798.407522</v>
      </c>
    </row>
    <row r="349" spans="1:5" x14ac:dyDescent="0.25">
      <c r="A349" s="201" t="s">
        <v>97</v>
      </c>
      <c r="B349" s="207" t="s">
        <v>212</v>
      </c>
      <c r="C349" s="208" t="s">
        <v>11</v>
      </c>
      <c r="D349" s="209" t="s">
        <v>211</v>
      </c>
      <c r="E349" s="205">
        <v>11835993080.970728</v>
      </c>
    </row>
    <row r="350" spans="1:5" x14ac:dyDescent="0.25">
      <c r="A350" s="201" t="s">
        <v>97</v>
      </c>
      <c r="B350" s="207" t="s">
        <v>212</v>
      </c>
      <c r="C350" s="208" t="s">
        <v>11</v>
      </c>
      <c r="D350" s="209" t="s">
        <v>209</v>
      </c>
      <c r="E350" s="205">
        <v>11279649680.87355</v>
      </c>
    </row>
    <row r="351" spans="1:5" x14ac:dyDescent="0.25">
      <c r="A351" s="201" t="s">
        <v>97</v>
      </c>
      <c r="B351" s="207" t="s">
        <v>212</v>
      </c>
      <c r="C351" s="208" t="s">
        <v>11</v>
      </c>
      <c r="D351" s="209" t="s">
        <v>210</v>
      </c>
      <c r="E351" s="205">
        <v>10594943425.058865</v>
      </c>
    </row>
    <row r="352" spans="1:5" x14ac:dyDescent="0.25">
      <c r="A352" s="201" t="s">
        <v>97</v>
      </c>
      <c r="B352" s="207" t="s">
        <v>212</v>
      </c>
      <c r="C352" s="208" t="s">
        <v>11</v>
      </c>
      <c r="D352" s="209" t="s">
        <v>211</v>
      </c>
      <c r="E352" s="205">
        <v>11798887663.22179</v>
      </c>
    </row>
    <row r="353" spans="1:5" x14ac:dyDescent="0.25">
      <c r="A353" s="201" t="s">
        <v>97</v>
      </c>
      <c r="B353" s="207" t="s">
        <v>212</v>
      </c>
      <c r="C353" s="210" t="s">
        <v>43</v>
      </c>
      <c r="D353" s="209" t="s">
        <v>209</v>
      </c>
      <c r="E353" s="205">
        <v>10783261995.096354</v>
      </c>
    </row>
    <row r="354" spans="1:5" x14ac:dyDescent="0.25">
      <c r="A354" s="201" t="s">
        <v>97</v>
      </c>
      <c r="B354" s="207" t="s">
        <v>212</v>
      </c>
      <c r="C354" s="210" t="s">
        <v>43</v>
      </c>
      <c r="D354" s="209" t="s">
        <v>210</v>
      </c>
      <c r="E354" s="205">
        <v>10574633118.21822</v>
      </c>
    </row>
    <row r="355" spans="1:5" x14ac:dyDescent="0.25">
      <c r="A355" s="201" t="s">
        <v>97</v>
      </c>
      <c r="B355" s="207" t="s">
        <v>212</v>
      </c>
      <c r="C355" s="210" t="s">
        <v>43</v>
      </c>
      <c r="D355" s="209" t="s">
        <v>211</v>
      </c>
      <c r="E355" s="205">
        <v>12583330738.874144</v>
      </c>
    </row>
    <row r="356" spans="1:5" x14ac:dyDescent="0.25">
      <c r="A356" s="201" t="s">
        <v>97</v>
      </c>
      <c r="B356" s="207" t="s">
        <v>212</v>
      </c>
      <c r="C356" s="210" t="s">
        <v>43</v>
      </c>
      <c r="D356" s="209" t="s">
        <v>209</v>
      </c>
      <c r="E356" s="205">
        <v>11175847325.125002</v>
      </c>
    </row>
    <row r="357" spans="1:5" x14ac:dyDescent="0.25">
      <c r="A357" s="201" t="s">
        <v>97</v>
      </c>
      <c r="B357" s="207" t="s">
        <v>212</v>
      </c>
      <c r="C357" s="210" t="s">
        <v>43</v>
      </c>
      <c r="D357" s="209" t="s">
        <v>210</v>
      </c>
      <c r="E357" s="205">
        <v>10600489366.703419</v>
      </c>
    </row>
    <row r="358" spans="1:5" x14ac:dyDescent="0.25">
      <c r="A358" s="201" t="s">
        <v>97</v>
      </c>
      <c r="B358" s="207" t="s">
        <v>212</v>
      </c>
      <c r="C358" s="210" t="s">
        <v>43</v>
      </c>
      <c r="D358" s="209" t="s">
        <v>211</v>
      </c>
      <c r="E358" s="205">
        <v>11582725476.882711</v>
      </c>
    </row>
    <row r="359" spans="1:5" x14ac:dyDescent="0.25">
      <c r="A359" s="201" t="s">
        <v>97</v>
      </c>
      <c r="B359" s="207" t="s">
        <v>212</v>
      </c>
      <c r="C359" s="210" t="s">
        <v>43</v>
      </c>
      <c r="D359" s="209" t="s">
        <v>209</v>
      </c>
      <c r="E359" s="205">
        <v>10749456851.895689</v>
      </c>
    </row>
    <row r="360" spans="1:5" x14ac:dyDescent="0.25">
      <c r="A360" s="201" t="s">
        <v>97</v>
      </c>
      <c r="B360" s="207" t="s">
        <v>212</v>
      </c>
      <c r="C360" s="210" t="s">
        <v>43</v>
      </c>
      <c r="D360" s="209" t="s">
        <v>210</v>
      </c>
      <c r="E360" s="205">
        <v>10448117208.671288</v>
      </c>
    </row>
    <row r="361" spans="1:5" x14ac:dyDescent="0.25">
      <c r="A361" s="201" t="s">
        <v>97</v>
      </c>
      <c r="B361" s="207" t="s">
        <v>212</v>
      </c>
      <c r="C361" s="210" t="s">
        <v>43</v>
      </c>
      <c r="D361" s="209" t="s">
        <v>211</v>
      </c>
      <c r="E361" s="205">
        <v>11598900524.700935</v>
      </c>
    </row>
    <row r="362" spans="1:5" x14ac:dyDescent="0.25">
      <c r="A362" s="201" t="s">
        <v>97</v>
      </c>
      <c r="B362" s="211" t="s">
        <v>213</v>
      </c>
      <c r="C362" s="212" t="s">
        <v>11</v>
      </c>
      <c r="D362" s="213" t="s">
        <v>209</v>
      </c>
      <c r="E362" s="205">
        <v>11073000223.250801</v>
      </c>
    </row>
    <row r="363" spans="1:5" x14ac:dyDescent="0.25">
      <c r="A363" s="201" t="s">
        <v>97</v>
      </c>
      <c r="B363" s="211" t="s">
        <v>213</v>
      </c>
      <c r="C363" s="212" t="s">
        <v>11</v>
      </c>
      <c r="D363" s="213" t="s">
        <v>210</v>
      </c>
      <c r="E363" s="205">
        <v>10633826033.474199</v>
      </c>
    </row>
    <row r="364" spans="1:5" x14ac:dyDescent="0.25">
      <c r="A364" s="201" t="s">
        <v>97</v>
      </c>
      <c r="B364" s="211" t="s">
        <v>213</v>
      </c>
      <c r="C364" s="212" t="s">
        <v>11</v>
      </c>
      <c r="D364" s="213" t="s">
        <v>211</v>
      </c>
      <c r="E364" s="205">
        <v>11456132710.056461</v>
      </c>
    </row>
    <row r="365" spans="1:5" x14ac:dyDescent="0.25">
      <c r="A365" s="201" t="s">
        <v>97</v>
      </c>
      <c r="B365" s="211" t="s">
        <v>213</v>
      </c>
      <c r="C365" s="212" t="s">
        <v>11</v>
      </c>
      <c r="D365" s="213" t="s">
        <v>209</v>
      </c>
      <c r="E365" s="205">
        <v>10657967696.196226</v>
      </c>
    </row>
    <row r="366" spans="1:5" x14ac:dyDescent="0.25">
      <c r="A366" s="201" t="s">
        <v>97</v>
      </c>
      <c r="B366" s="211" t="s">
        <v>213</v>
      </c>
      <c r="C366" s="212" t="s">
        <v>11</v>
      </c>
      <c r="D366" s="213" t="s">
        <v>210</v>
      </c>
      <c r="E366" s="205">
        <v>10473664110.557129</v>
      </c>
    </row>
    <row r="367" spans="1:5" x14ac:dyDescent="0.25">
      <c r="A367" s="201" t="s">
        <v>97</v>
      </c>
      <c r="B367" s="211" t="s">
        <v>213</v>
      </c>
      <c r="C367" s="212" t="s">
        <v>11</v>
      </c>
      <c r="D367" s="213" t="s">
        <v>211</v>
      </c>
      <c r="E367" s="205">
        <v>11977225265.434628</v>
      </c>
    </row>
    <row r="368" spans="1:5" x14ac:dyDescent="0.25">
      <c r="A368" s="201" t="s">
        <v>97</v>
      </c>
      <c r="B368" s="211" t="s">
        <v>213</v>
      </c>
      <c r="C368" s="212" t="s">
        <v>11</v>
      </c>
      <c r="D368" s="213" t="s">
        <v>209</v>
      </c>
      <c r="E368" s="205">
        <v>10743832973.756769</v>
      </c>
    </row>
    <row r="369" spans="1:5" x14ac:dyDescent="0.25">
      <c r="A369" s="201" t="s">
        <v>97</v>
      </c>
      <c r="B369" s="211" t="s">
        <v>213</v>
      </c>
      <c r="C369" s="212" t="s">
        <v>11</v>
      </c>
      <c r="D369" s="213" t="s">
        <v>210</v>
      </c>
      <c r="E369" s="205">
        <v>11340810576.233448</v>
      </c>
    </row>
    <row r="370" spans="1:5" x14ac:dyDescent="0.25">
      <c r="A370" s="201" t="s">
        <v>97</v>
      </c>
      <c r="B370" s="211" t="s">
        <v>213</v>
      </c>
      <c r="C370" s="212" t="s">
        <v>11</v>
      </c>
      <c r="D370" s="213" t="s">
        <v>211</v>
      </c>
      <c r="E370" s="205">
        <v>11958436440.486347</v>
      </c>
    </row>
    <row r="371" spans="1:5" x14ac:dyDescent="0.25">
      <c r="A371" s="201" t="s">
        <v>97</v>
      </c>
      <c r="B371" s="211" t="s">
        <v>213</v>
      </c>
      <c r="C371" s="214" t="s">
        <v>43</v>
      </c>
      <c r="D371" s="213" t="s">
        <v>209</v>
      </c>
      <c r="E371" s="205">
        <v>10480974691.917444</v>
      </c>
    </row>
    <row r="372" spans="1:5" x14ac:dyDescent="0.25">
      <c r="A372" s="201" t="s">
        <v>97</v>
      </c>
      <c r="B372" s="211" t="s">
        <v>213</v>
      </c>
      <c r="C372" s="214" t="s">
        <v>43</v>
      </c>
      <c r="D372" s="213" t="s">
        <v>210</v>
      </c>
      <c r="E372" s="205">
        <v>10355579320.63011</v>
      </c>
    </row>
    <row r="373" spans="1:5" x14ac:dyDescent="0.25">
      <c r="A373" s="201" t="s">
        <v>97</v>
      </c>
      <c r="B373" s="211" t="s">
        <v>213</v>
      </c>
      <c r="C373" s="214" t="s">
        <v>43</v>
      </c>
      <c r="D373" s="213" t="s">
        <v>211</v>
      </c>
      <c r="E373" s="205">
        <v>11045991447.019361</v>
      </c>
    </row>
    <row r="374" spans="1:5" x14ac:dyDescent="0.25">
      <c r="A374" s="201" t="s">
        <v>97</v>
      </c>
      <c r="B374" s="211" t="s">
        <v>213</v>
      </c>
      <c r="C374" s="214" t="s">
        <v>43</v>
      </c>
      <c r="D374" s="213" t="s">
        <v>209</v>
      </c>
      <c r="E374" s="205">
        <v>11015204932.509071</v>
      </c>
    </row>
    <row r="375" spans="1:5" x14ac:dyDescent="0.25">
      <c r="A375" s="201" t="s">
        <v>97</v>
      </c>
      <c r="B375" s="211" t="s">
        <v>213</v>
      </c>
      <c r="C375" s="214" t="s">
        <v>43</v>
      </c>
      <c r="D375" s="213" t="s">
        <v>210</v>
      </c>
      <c r="E375" s="205">
        <v>10684027707.736988</v>
      </c>
    </row>
    <row r="376" spans="1:5" x14ac:dyDescent="0.25">
      <c r="A376" s="201" t="s">
        <v>97</v>
      </c>
      <c r="B376" s="211" t="s">
        <v>213</v>
      </c>
      <c r="C376" s="214" t="s">
        <v>43</v>
      </c>
      <c r="D376" s="213" t="s">
        <v>211</v>
      </c>
      <c r="E376" s="205">
        <v>10889114924.31222</v>
      </c>
    </row>
    <row r="377" spans="1:5" x14ac:dyDescent="0.25">
      <c r="A377" s="201" t="s">
        <v>97</v>
      </c>
      <c r="B377" s="211" t="s">
        <v>213</v>
      </c>
      <c r="C377" s="214" t="s">
        <v>43</v>
      </c>
      <c r="D377" s="213" t="s">
        <v>209</v>
      </c>
      <c r="E377" s="205">
        <v>10380899956.261534</v>
      </c>
    </row>
    <row r="378" spans="1:5" x14ac:dyDescent="0.25">
      <c r="A378" s="201" t="s">
        <v>97</v>
      </c>
      <c r="B378" s="211" t="s">
        <v>213</v>
      </c>
      <c r="C378" s="214" t="s">
        <v>43</v>
      </c>
      <c r="D378" s="213" t="s">
        <v>210</v>
      </c>
      <c r="E378" s="205">
        <v>10324915850.742918</v>
      </c>
    </row>
    <row r="379" spans="1:5" x14ac:dyDescent="0.25">
      <c r="A379" s="201" t="s">
        <v>97</v>
      </c>
      <c r="B379" s="211" t="s">
        <v>213</v>
      </c>
      <c r="C379" s="214" t="s">
        <v>43</v>
      </c>
      <c r="D379" s="213" t="s">
        <v>211</v>
      </c>
      <c r="E379" s="205">
        <v>11121394542.895559</v>
      </c>
    </row>
    <row r="380" spans="1:5" x14ac:dyDescent="0.25">
      <c r="A380" s="201" t="s">
        <v>99</v>
      </c>
      <c r="B380" s="202" t="s">
        <v>208</v>
      </c>
      <c r="C380" s="203" t="s">
        <v>11</v>
      </c>
      <c r="D380" s="204" t="s">
        <v>209</v>
      </c>
      <c r="E380" s="205">
        <v>93862795416.593857</v>
      </c>
    </row>
    <row r="381" spans="1:5" x14ac:dyDescent="0.25">
      <c r="A381" s="201" t="s">
        <v>99</v>
      </c>
      <c r="B381" s="202" t="s">
        <v>208</v>
      </c>
      <c r="C381" s="203" t="s">
        <v>11</v>
      </c>
      <c r="D381" s="204" t="s">
        <v>210</v>
      </c>
      <c r="E381" s="205">
        <v>424038532643.92487</v>
      </c>
    </row>
    <row r="382" spans="1:5" x14ac:dyDescent="0.25">
      <c r="A382" s="201" t="s">
        <v>99</v>
      </c>
      <c r="B382" s="202" t="s">
        <v>208</v>
      </c>
      <c r="C382" s="203" t="s">
        <v>11</v>
      </c>
      <c r="D382" s="204" t="s">
        <v>211</v>
      </c>
      <c r="E382" s="205">
        <v>6419572066.8655729</v>
      </c>
    </row>
    <row r="383" spans="1:5" x14ac:dyDescent="0.25">
      <c r="A383" s="201" t="s">
        <v>99</v>
      </c>
      <c r="B383" s="202" t="s">
        <v>208</v>
      </c>
      <c r="C383" s="203" t="s">
        <v>11</v>
      </c>
      <c r="D383" s="204" t="s">
        <v>209</v>
      </c>
      <c r="E383" s="205">
        <v>405988409676.08936</v>
      </c>
    </row>
    <row r="384" spans="1:5" x14ac:dyDescent="0.25">
      <c r="A384" s="201" t="s">
        <v>99</v>
      </c>
      <c r="B384" s="202" t="s">
        <v>208</v>
      </c>
      <c r="C384" s="203" t="s">
        <v>11</v>
      </c>
      <c r="D384" s="204" t="s">
        <v>210</v>
      </c>
      <c r="E384" s="205">
        <v>1004825068899.4907</v>
      </c>
    </row>
    <row r="385" spans="1:5" x14ac:dyDescent="0.25">
      <c r="A385" s="201" t="s">
        <v>99</v>
      </c>
      <c r="B385" s="202" t="s">
        <v>208</v>
      </c>
      <c r="C385" s="203" t="s">
        <v>11</v>
      </c>
      <c r="D385" s="204" t="s">
        <v>211</v>
      </c>
      <c r="E385" s="205">
        <v>2689504811.1637754</v>
      </c>
    </row>
    <row r="386" spans="1:5" x14ac:dyDescent="0.25">
      <c r="A386" s="201" t="s">
        <v>99</v>
      </c>
      <c r="B386" s="202" t="s">
        <v>208</v>
      </c>
      <c r="C386" s="203" t="s">
        <v>11</v>
      </c>
      <c r="D386" s="204" t="s">
        <v>209</v>
      </c>
      <c r="E386" s="205">
        <v>408942502167.19153</v>
      </c>
    </row>
    <row r="387" spans="1:5" x14ac:dyDescent="0.25">
      <c r="A387" s="201" t="s">
        <v>99</v>
      </c>
      <c r="B387" s="202" t="s">
        <v>208</v>
      </c>
      <c r="C387" s="203" t="s">
        <v>11</v>
      </c>
      <c r="D387" s="204" t="s">
        <v>210</v>
      </c>
      <c r="E387" s="205">
        <v>455922965809.81946</v>
      </c>
    </row>
    <row r="388" spans="1:5" x14ac:dyDescent="0.25">
      <c r="A388" s="201" t="s">
        <v>99</v>
      </c>
      <c r="B388" s="202" t="s">
        <v>208</v>
      </c>
      <c r="C388" s="203" t="s">
        <v>11</v>
      </c>
      <c r="D388" s="204" t="s">
        <v>211</v>
      </c>
      <c r="E388" s="205">
        <v>26778309498.685551</v>
      </c>
    </row>
    <row r="389" spans="1:5" x14ac:dyDescent="0.25">
      <c r="A389" s="201" t="s">
        <v>99</v>
      </c>
      <c r="B389" s="202" t="s">
        <v>208</v>
      </c>
      <c r="C389" s="206" t="s">
        <v>43</v>
      </c>
      <c r="D389" s="204" t="s">
        <v>209</v>
      </c>
      <c r="E389" s="205">
        <v>493771739352.85339</v>
      </c>
    </row>
    <row r="390" spans="1:5" x14ac:dyDescent="0.25">
      <c r="A390" s="201" t="s">
        <v>99</v>
      </c>
      <c r="B390" s="202" t="s">
        <v>208</v>
      </c>
      <c r="C390" s="206" t="s">
        <v>43</v>
      </c>
      <c r="D390" s="204" t="s">
        <v>210</v>
      </c>
      <c r="E390" s="205">
        <v>1423062461833.3574</v>
      </c>
    </row>
    <row r="391" spans="1:5" x14ac:dyDescent="0.25">
      <c r="A391" s="201" t="s">
        <v>99</v>
      </c>
      <c r="B391" s="202" t="s">
        <v>208</v>
      </c>
      <c r="C391" s="206" t="s">
        <v>43</v>
      </c>
      <c r="D391" s="204" t="s">
        <v>211</v>
      </c>
      <c r="E391" s="205">
        <v>73356835365.144333</v>
      </c>
    </row>
    <row r="392" spans="1:5" x14ac:dyDescent="0.25">
      <c r="A392" s="201" t="s">
        <v>99</v>
      </c>
      <c r="B392" s="202" t="s">
        <v>208</v>
      </c>
      <c r="C392" s="206" t="s">
        <v>43</v>
      </c>
      <c r="D392" s="204" t="s">
        <v>209</v>
      </c>
      <c r="E392" s="205">
        <v>270514916254.95135</v>
      </c>
    </row>
    <row r="393" spans="1:5" x14ac:dyDescent="0.25">
      <c r="A393" s="201" t="s">
        <v>99</v>
      </c>
      <c r="B393" s="202" t="s">
        <v>208</v>
      </c>
      <c r="C393" s="206" t="s">
        <v>43</v>
      </c>
      <c r="D393" s="204" t="s">
        <v>210</v>
      </c>
      <c r="E393" s="205">
        <v>527064494699.49744</v>
      </c>
    </row>
    <row r="394" spans="1:5" x14ac:dyDescent="0.25">
      <c r="A394" s="201" t="s">
        <v>99</v>
      </c>
      <c r="B394" s="202" t="s">
        <v>208</v>
      </c>
      <c r="C394" s="206" t="s">
        <v>43</v>
      </c>
      <c r="D394" s="204" t="s">
        <v>211</v>
      </c>
      <c r="E394" s="205">
        <v>557728651.11663127</v>
      </c>
    </row>
    <row r="395" spans="1:5" x14ac:dyDescent="0.25">
      <c r="A395" s="201" t="s">
        <v>99</v>
      </c>
      <c r="B395" s="202" t="s">
        <v>208</v>
      </c>
      <c r="C395" s="206" t="s">
        <v>43</v>
      </c>
      <c r="D395" s="204" t="s">
        <v>209</v>
      </c>
      <c r="E395" s="205">
        <v>1220318887.3547294</v>
      </c>
    </row>
    <row r="396" spans="1:5" x14ac:dyDescent="0.25">
      <c r="A396" s="201" t="s">
        <v>99</v>
      </c>
      <c r="B396" s="202" t="s">
        <v>208</v>
      </c>
      <c r="C396" s="206" t="s">
        <v>43</v>
      </c>
      <c r="D396" s="204" t="s">
        <v>210</v>
      </c>
      <c r="E396" s="205">
        <v>200954630651.83536</v>
      </c>
    </row>
    <row r="397" spans="1:5" x14ac:dyDescent="0.25">
      <c r="A397" s="201" t="s">
        <v>99</v>
      </c>
      <c r="B397" s="202" t="s">
        <v>208</v>
      </c>
      <c r="C397" s="206" t="s">
        <v>43</v>
      </c>
      <c r="D397" s="204" t="s">
        <v>211</v>
      </c>
      <c r="E397" s="205">
        <v>6057831118.1270905</v>
      </c>
    </row>
    <row r="398" spans="1:5" x14ac:dyDescent="0.25">
      <c r="A398" s="201" t="s">
        <v>99</v>
      </c>
      <c r="B398" s="207" t="s">
        <v>212</v>
      </c>
      <c r="C398" s="208" t="s">
        <v>11</v>
      </c>
      <c r="D398" s="209" t="s">
        <v>209</v>
      </c>
      <c r="E398" s="205">
        <v>104646017077.57401</v>
      </c>
    </row>
    <row r="399" spans="1:5" x14ac:dyDescent="0.25">
      <c r="A399" s="201" t="s">
        <v>99</v>
      </c>
      <c r="B399" s="207" t="s">
        <v>212</v>
      </c>
      <c r="C399" s="208" t="s">
        <v>11</v>
      </c>
      <c r="D399" s="209" t="s">
        <v>210</v>
      </c>
      <c r="E399" s="205">
        <v>5473139999.314414</v>
      </c>
    </row>
    <row r="400" spans="1:5" x14ac:dyDescent="0.25">
      <c r="A400" s="201" t="s">
        <v>99</v>
      </c>
      <c r="B400" s="207" t="s">
        <v>212</v>
      </c>
      <c r="C400" s="208" t="s">
        <v>11</v>
      </c>
      <c r="D400" s="209" t="s">
        <v>211</v>
      </c>
      <c r="E400" s="205">
        <v>627235328898.74622</v>
      </c>
    </row>
    <row r="401" spans="1:5" x14ac:dyDescent="0.25">
      <c r="A401" s="201" t="s">
        <v>99</v>
      </c>
      <c r="B401" s="207" t="s">
        <v>212</v>
      </c>
      <c r="C401" s="208" t="s">
        <v>11</v>
      </c>
      <c r="D401" s="209" t="s">
        <v>209</v>
      </c>
      <c r="E401" s="205">
        <v>650389595307.73889</v>
      </c>
    </row>
    <row r="402" spans="1:5" x14ac:dyDescent="0.25">
      <c r="A402" s="201" t="s">
        <v>99</v>
      </c>
      <c r="B402" s="207" t="s">
        <v>212</v>
      </c>
      <c r="C402" s="208" t="s">
        <v>11</v>
      </c>
      <c r="D402" s="209" t="s">
        <v>210</v>
      </c>
      <c r="E402" s="205">
        <v>1333172759792.5793</v>
      </c>
    </row>
    <row r="403" spans="1:5" x14ac:dyDescent="0.25">
      <c r="A403" s="201" t="s">
        <v>99</v>
      </c>
      <c r="B403" s="207" t="s">
        <v>212</v>
      </c>
      <c r="C403" s="208" t="s">
        <v>11</v>
      </c>
      <c r="D403" s="209" t="s">
        <v>211</v>
      </c>
      <c r="E403" s="205">
        <v>4944882230.6153421</v>
      </c>
    </row>
    <row r="404" spans="1:5" x14ac:dyDescent="0.25">
      <c r="A404" s="201" t="s">
        <v>99</v>
      </c>
      <c r="B404" s="207" t="s">
        <v>212</v>
      </c>
      <c r="C404" s="208" t="s">
        <v>11</v>
      </c>
      <c r="D404" s="209" t="s">
        <v>209</v>
      </c>
      <c r="E404" s="205">
        <v>20329926175.769646</v>
      </c>
    </row>
    <row r="405" spans="1:5" x14ac:dyDescent="0.25">
      <c r="A405" s="201" t="s">
        <v>99</v>
      </c>
      <c r="B405" s="207" t="s">
        <v>212</v>
      </c>
      <c r="C405" s="208" t="s">
        <v>11</v>
      </c>
      <c r="D405" s="209" t="s">
        <v>210</v>
      </c>
      <c r="E405" s="205">
        <v>741051938939.77307</v>
      </c>
    </row>
    <row r="406" spans="1:5" x14ac:dyDescent="0.25">
      <c r="A406" s="201" t="s">
        <v>99</v>
      </c>
      <c r="B406" s="207" t="s">
        <v>212</v>
      </c>
      <c r="C406" s="208" t="s">
        <v>11</v>
      </c>
      <c r="D406" s="209" t="s">
        <v>211</v>
      </c>
      <c r="E406" s="205">
        <v>3921031084.2228861</v>
      </c>
    </row>
    <row r="407" spans="1:5" x14ac:dyDescent="0.25">
      <c r="A407" s="201" t="s">
        <v>99</v>
      </c>
      <c r="B407" s="207" t="s">
        <v>212</v>
      </c>
      <c r="C407" s="210" t="s">
        <v>43</v>
      </c>
      <c r="D407" s="209" t="s">
        <v>209</v>
      </c>
      <c r="E407" s="205">
        <v>24369755211.670631</v>
      </c>
    </row>
    <row r="408" spans="1:5" x14ac:dyDescent="0.25">
      <c r="A408" s="201" t="s">
        <v>99</v>
      </c>
      <c r="B408" s="207" t="s">
        <v>212</v>
      </c>
      <c r="C408" s="210" t="s">
        <v>43</v>
      </c>
      <c r="D408" s="209" t="s">
        <v>210</v>
      </c>
      <c r="E408" s="205">
        <v>462581966790.51447</v>
      </c>
    </row>
    <row r="409" spans="1:5" x14ac:dyDescent="0.25">
      <c r="A409" s="201" t="s">
        <v>99</v>
      </c>
      <c r="B409" s="207" t="s">
        <v>212</v>
      </c>
      <c r="C409" s="210" t="s">
        <v>43</v>
      </c>
      <c r="D409" s="209" t="s">
        <v>211</v>
      </c>
      <c r="E409" s="205">
        <v>205075670.00573793</v>
      </c>
    </row>
    <row r="410" spans="1:5" x14ac:dyDescent="0.25">
      <c r="A410" s="201" t="s">
        <v>99</v>
      </c>
      <c r="B410" s="207" t="s">
        <v>212</v>
      </c>
      <c r="C410" s="210" t="s">
        <v>43</v>
      </c>
      <c r="D410" s="209" t="s">
        <v>209</v>
      </c>
      <c r="E410" s="205">
        <v>10586697081.200031</v>
      </c>
    </row>
    <row r="411" spans="1:5" x14ac:dyDescent="0.25">
      <c r="A411" s="201" t="s">
        <v>99</v>
      </c>
      <c r="B411" s="207" t="s">
        <v>212</v>
      </c>
      <c r="C411" s="210" t="s">
        <v>43</v>
      </c>
      <c r="D411" s="209" t="s">
        <v>210</v>
      </c>
      <c r="E411" s="205">
        <v>244405296168.75632</v>
      </c>
    </row>
    <row r="412" spans="1:5" x14ac:dyDescent="0.25">
      <c r="A412" s="201" t="s">
        <v>99</v>
      </c>
      <c r="B412" s="207" t="s">
        <v>212</v>
      </c>
      <c r="C412" s="210" t="s">
        <v>43</v>
      </c>
      <c r="D412" s="209" t="s">
        <v>211</v>
      </c>
      <c r="E412" s="205">
        <v>3441321297.54005</v>
      </c>
    </row>
    <row r="413" spans="1:5" x14ac:dyDescent="0.25">
      <c r="A413" s="201" t="s">
        <v>99</v>
      </c>
      <c r="B413" s="207" t="s">
        <v>212</v>
      </c>
      <c r="C413" s="210" t="s">
        <v>43</v>
      </c>
      <c r="D413" s="209" t="s">
        <v>209</v>
      </c>
      <c r="E413" s="205">
        <v>81193486747.637253</v>
      </c>
    </row>
    <row r="414" spans="1:5" x14ac:dyDescent="0.25">
      <c r="A414" s="201" t="s">
        <v>99</v>
      </c>
      <c r="B414" s="207" t="s">
        <v>212</v>
      </c>
      <c r="C414" s="210" t="s">
        <v>43</v>
      </c>
      <c r="D414" s="209" t="s">
        <v>210</v>
      </c>
      <c r="E414" s="205">
        <v>901283130552.9917</v>
      </c>
    </row>
    <row r="415" spans="1:5" x14ac:dyDescent="0.25">
      <c r="A415" s="201" t="s">
        <v>99</v>
      </c>
      <c r="B415" s="207" t="s">
        <v>212</v>
      </c>
      <c r="C415" s="210" t="s">
        <v>43</v>
      </c>
      <c r="D415" s="209" t="s">
        <v>211</v>
      </c>
      <c r="E415" s="205">
        <v>12327681164.238665</v>
      </c>
    </row>
    <row r="416" spans="1:5" x14ac:dyDescent="0.25">
      <c r="A416" s="201" t="s">
        <v>99</v>
      </c>
      <c r="B416" s="211" t="s">
        <v>213</v>
      </c>
      <c r="C416" s="212" t="s">
        <v>11</v>
      </c>
      <c r="D416" s="213" t="s">
        <v>209</v>
      </c>
      <c r="E416" s="205">
        <v>53709382496.527191</v>
      </c>
    </row>
    <row r="417" spans="1:5" x14ac:dyDescent="0.25">
      <c r="A417" s="201" t="s">
        <v>99</v>
      </c>
      <c r="B417" s="211" t="s">
        <v>213</v>
      </c>
      <c r="C417" s="212" t="s">
        <v>11</v>
      </c>
      <c r="D417" s="213" t="s">
        <v>210</v>
      </c>
      <c r="E417" s="205">
        <v>515724682838.28925</v>
      </c>
    </row>
    <row r="418" spans="1:5" x14ac:dyDescent="0.25">
      <c r="A418" s="201" t="s">
        <v>99</v>
      </c>
      <c r="B418" s="211" t="s">
        <v>213</v>
      </c>
      <c r="C418" s="212" t="s">
        <v>11</v>
      </c>
      <c r="D418" s="213" t="s">
        <v>211</v>
      </c>
      <c r="E418" s="205">
        <v>16237858355.361326</v>
      </c>
    </row>
    <row r="419" spans="1:5" x14ac:dyDescent="0.25">
      <c r="A419" s="201" t="s">
        <v>99</v>
      </c>
      <c r="B419" s="211" t="s">
        <v>213</v>
      </c>
      <c r="C419" s="212" t="s">
        <v>11</v>
      </c>
      <c r="D419" s="213" t="s">
        <v>209</v>
      </c>
      <c r="E419" s="205">
        <v>730384282302.86694</v>
      </c>
    </row>
    <row r="420" spans="1:5" x14ac:dyDescent="0.25">
      <c r="A420" s="201" t="s">
        <v>99</v>
      </c>
      <c r="B420" s="211" t="s">
        <v>213</v>
      </c>
      <c r="C420" s="212" t="s">
        <v>11</v>
      </c>
      <c r="D420" s="213" t="s">
        <v>210</v>
      </c>
      <c r="E420" s="205">
        <v>664690434287.73022</v>
      </c>
    </row>
    <row r="421" spans="1:5" x14ac:dyDescent="0.25">
      <c r="A421" s="201" t="s">
        <v>99</v>
      </c>
      <c r="B421" s="211" t="s">
        <v>213</v>
      </c>
      <c r="C421" s="212" t="s">
        <v>11</v>
      </c>
      <c r="D421" s="213" t="s">
        <v>211</v>
      </c>
      <c r="E421" s="205">
        <v>1462812619.5783973</v>
      </c>
    </row>
    <row r="422" spans="1:5" x14ac:dyDescent="0.25">
      <c r="A422" s="201" t="s">
        <v>99</v>
      </c>
      <c r="B422" s="211" t="s">
        <v>213</v>
      </c>
      <c r="C422" s="212" t="s">
        <v>11</v>
      </c>
      <c r="D422" s="213" t="s">
        <v>209</v>
      </c>
      <c r="E422" s="205">
        <v>292971906959.86224</v>
      </c>
    </row>
    <row r="423" spans="1:5" x14ac:dyDescent="0.25">
      <c r="A423" s="201" t="s">
        <v>99</v>
      </c>
      <c r="B423" s="211" t="s">
        <v>213</v>
      </c>
      <c r="C423" s="212" t="s">
        <v>11</v>
      </c>
      <c r="D423" s="213" t="s">
        <v>210</v>
      </c>
      <c r="E423" s="205">
        <v>2612629745.3365011</v>
      </c>
    </row>
    <row r="424" spans="1:5" x14ac:dyDescent="0.25">
      <c r="A424" s="201" t="s">
        <v>99</v>
      </c>
      <c r="B424" s="211" t="s">
        <v>213</v>
      </c>
      <c r="C424" s="212" t="s">
        <v>11</v>
      </c>
      <c r="D424" s="213" t="s">
        <v>211</v>
      </c>
      <c r="E424" s="205">
        <v>2163783910.9517007</v>
      </c>
    </row>
    <row r="425" spans="1:5" x14ac:dyDescent="0.25">
      <c r="A425" s="201" t="s">
        <v>99</v>
      </c>
      <c r="B425" s="211" t="s">
        <v>213</v>
      </c>
      <c r="C425" s="214" t="s">
        <v>43</v>
      </c>
      <c r="D425" s="213" t="s">
        <v>209</v>
      </c>
      <c r="E425" s="205">
        <v>604905368500.80603</v>
      </c>
    </row>
    <row r="426" spans="1:5" x14ac:dyDescent="0.25">
      <c r="A426" s="201" t="s">
        <v>99</v>
      </c>
      <c r="B426" s="211" t="s">
        <v>213</v>
      </c>
      <c r="C426" s="214" t="s">
        <v>43</v>
      </c>
      <c r="D426" s="213" t="s">
        <v>210</v>
      </c>
      <c r="E426" s="205">
        <v>1497146381756.1604</v>
      </c>
    </row>
    <row r="427" spans="1:5" x14ac:dyDescent="0.25">
      <c r="A427" s="201" t="s">
        <v>99</v>
      </c>
      <c r="B427" s="211" t="s">
        <v>213</v>
      </c>
      <c r="C427" s="214" t="s">
        <v>43</v>
      </c>
      <c r="D427" s="213" t="s">
        <v>211</v>
      </c>
      <c r="E427" s="205">
        <v>28583847636.418793</v>
      </c>
    </row>
    <row r="428" spans="1:5" x14ac:dyDescent="0.25">
      <c r="A428" s="201" t="s">
        <v>99</v>
      </c>
      <c r="B428" s="211" t="s">
        <v>213</v>
      </c>
      <c r="C428" s="214" t="s">
        <v>43</v>
      </c>
      <c r="D428" s="213" t="s">
        <v>209</v>
      </c>
      <c r="E428" s="205">
        <v>110894911898.37396</v>
      </c>
    </row>
    <row r="429" spans="1:5" x14ac:dyDescent="0.25">
      <c r="A429" s="201" t="s">
        <v>99</v>
      </c>
      <c r="B429" s="211" t="s">
        <v>213</v>
      </c>
      <c r="C429" s="214" t="s">
        <v>43</v>
      </c>
      <c r="D429" s="213" t="s">
        <v>210</v>
      </c>
      <c r="E429" s="205">
        <v>641027049285.81396</v>
      </c>
    </row>
    <row r="430" spans="1:5" x14ac:dyDescent="0.25">
      <c r="A430" s="201" t="s">
        <v>99</v>
      </c>
      <c r="B430" s="211" t="s">
        <v>213</v>
      </c>
      <c r="C430" s="214" t="s">
        <v>43</v>
      </c>
      <c r="D430" s="213" t="s">
        <v>211</v>
      </c>
      <c r="E430" s="205">
        <v>198061830718.73331</v>
      </c>
    </row>
    <row r="431" spans="1:5" x14ac:dyDescent="0.25">
      <c r="A431" s="201" t="s">
        <v>99</v>
      </c>
      <c r="B431" s="211" t="s">
        <v>213</v>
      </c>
      <c r="C431" s="214" t="s">
        <v>43</v>
      </c>
      <c r="D431" s="213" t="s">
        <v>209</v>
      </c>
      <c r="E431" s="205">
        <v>1248961064690.8433</v>
      </c>
    </row>
    <row r="432" spans="1:5" x14ac:dyDescent="0.25">
      <c r="A432" s="201" t="s">
        <v>99</v>
      </c>
      <c r="B432" s="211" t="s">
        <v>213</v>
      </c>
      <c r="C432" s="214" t="s">
        <v>43</v>
      </c>
      <c r="D432" s="213" t="s">
        <v>210</v>
      </c>
      <c r="E432" s="205">
        <v>1794649450469.7712</v>
      </c>
    </row>
    <row r="433" spans="1:5" x14ac:dyDescent="0.25">
      <c r="A433" s="201" t="s">
        <v>99</v>
      </c>
      <c r="B433" s="211" t="s">
        <v>213</v>
      </c>
      <c r="C433" s="214" t="s">
        <v>43</v>
      </c>
      <c r="D433" s="213" t="s">
        <v>211</v>
      </c>
      <c r="E433" s="205">
        <v>50316755314.732857</v>
      </c>
    </row>
    <row r="434" spans="1:5" x14ac:dyDescent="0.25">
      <c r="A434" s="201" t="s">
        <v>101</v>
      </c>
      <c r="B434" s="202" t="s">
        <v>208</v>
      </c>
      <c r="C434" s="203" t="s">
        <v>11</v>
      </c>
      <c r="D434" s="204" t="s">
        <v>209</v>
      </c>
      <c r="E434" s="205">
        <v>1779119885899.1799</v>
      </c>
    </row>
    <row r="435" spans="1:5" x14ac:dyDescent="0.25">
      <c r="A435" s="201" t="s">
        <v>101</v>
      </c>
      <c r="B435" s="202" t="s">
        <v>208</v>
      </c>
      <c r="C435" s="203" t="s">
        <v>11</v>
      </c>
      <c r="D435" s="204" t="s">
        <v>210</v>
      </c>
      <c r="E435" s="205">
        <v>476051560482.46289</v>
      </c>
    </row>
    <row r="436" spans="1:5" x14ac:dyDescent="0.25">
      <c r="A436" s="201" t="s">
        <v>101</v>
      </c>
      <c r="B436" s="202" t="s">
        <v>208</v>
      </c>
      <c r="C436" s="203" t="s">
        <v>11</v>
      </c>
      <c r="D436" s="204" t="s">
        <v>211</v>
      </c>
      <c r="E436" s="205">
        <v>337770936.71628553</v>
      </c>
    </row>
    <row r="437" spans="1:5" x14ac:dyDescent="0.25">
      <c r="A437" s="201" t="s">
        <v>101</v>
      </c>
      <c r="B437" s="202" t="s">
        <v>208</v>
      </c>
      <c r="C437" s="203" t="s">
        <v>11</v>
      </c>
      <c r="D437" s="204" t="s">
        <v>209</v>
      </c>
      <c r="E437" s="205">
        <v>111936133025.98311</v>
      </c>
    </row>
    <row r="438" spans="1:5" x14ac:dyDescent="0.25">
      <c r="A438" s="201" t="s">
        <v>101</v>
      </c>
      <c r="B438" s="202" t="s">
        <v>208</v>
      </c>
      <c r="C438" s="203" t="s">
        <v>11</v>
      </c>
      <c r="D438" s="204" t="s">
        <v>210</v>
      </c>
      <c r="E438" s="205">
        <v>885298771878.09839</v>
      </c>
    </row>
    <row r="439" spans="1:5" x14ac:dyDescent="0.25">
      <c r="A439" s="201" t="s">
        <v>101</v>
      </c>
      <c r="B439" s="202" t="s">
        <v>208</v>
      </c>
      <c r="C439" s="203" t="s">
        <v>11</v>
      </c>
      <c r="D439" s="204" t="s">
        <v>211</v>
      </c>
      <c r="E439" s="205">
        <v>577526663.45658004</v>
      </c>
    </row>
    <row r="440" spans="1:5" x14ac:dyDescent="0.25">
      <c r="A440" s="201" t="s">
        <v>101</v>
      </c>
      <c r="B440" s="202" t="s">
        <v>208</v>
      </c>
      <c r="C440" s="203" t="s">
        <v>11</v>
      </c>
      <c r="D440" s="204" t="s">
        <v>209</v>
      </c>
      <c r="E440" s="205">
        <v>42459683721.194122</v>
      </c>
    </row>
    <row r="441" spans="1:5" x14ac:dyDescent="0.25">
      <c r="A441" s="201" t="s">
        <v>101</v>
      </c>
      <c r="B441" s="202" t="s">
        <v>208</v>
      </c>
      <c r="C441" s="203" t="s">
        <v>11</v>
      </c>
      <c r="D441" s="204" t="s">
        <v>210</v>
      </c>
      <c r="E441" s="205">
        <v>24848927887572.563</v>
      </c>
    </row>
    <row r="442" spans="1:5" x14ac:dyDescent="0.25">
      <c r="A442" s="201" t="s">
        <v>101</v>
      </c>
      <c r="B442" s="202" t="s">
        <v>208</v>
      </c>
      <c r="C442" s="203" t="s">
        <v>11</v>
      </c>
      <c r="D442" s="204" t="s">
        <v>211</v>
      </c>
      <c r="E442" s="205">
        <v>446259790051.9187</v>
      </c>
    </row>
    <row r="443" spans="1:5" x14ac:dyDescent="0.25">
      <c r="A443" s="201" t="s">
        <v>101</v>
      </c>
      <c r="B443" s="202" t="s">
        <v>208</v>
      </c>
      <c r="C443" s="206" t="s">
        <v>43</v>
      </c>
      <c r="D443" s="204" t="s">
        <v>209</v>
      </c>
      <c r="E443" s="205">
        <v>217797321105.26913</v>
      </c>
    </row>
    <row r="444" spans="1:5" x14ac:dyDescent="0.25">
      <c r="A444" s="201" t="s">
        <v>101</v>
      </c>
      <c r="B444" s="202" t="s">
        <v>208</v>
      </c>
      <c r="C444" s="206" t="s">
        <v>43</v>
      </c>
      <c r="D444" s="204" t="s">
        <v>210</v>
      </c>
      <c r="E444" s="205">
        <v>1446749222910.5515</v>
      </c>
    </row>
    <row r="445" spans="1:5" x14ac:dyDescent="0.25">
      <c r="A445" s="201" t="s">
        <v>101</v>
      </c>
      <c r="B445" s="202" t="s">
        <v>208</v>
      </c>
      <c r="C445" s="206" t="s">
        <v>43</v>
      </c>
      <c r="D445" s="204" t="s">
        <v>211</v>
      </c>
      <c r="E445" s="205">
        <v>28999196217.050678</v>
      </c>
    </row>
    <row r="446" spans="1:5" x14ac:dyDescent="0.25">
      <c r="A446" s="201" t="s">
        <v>101</v>
      </c>
      <c r="B446" s="202" t="s">
        <v>208</v>
      </c>
      <c r="C446" s="206" t="s">
        <v>43</v>
      </c>
      <c r="D446" s="204" t="s">
        <v>209</v>
      </c>
      <c r="E446" s="205">
        <v>44712581407.522057</v>
      </c>
    </row>
    <row r="447" spans="1:5" x14ac:dyDescent="0.25">
      <c r="A447" s="201" t="s">
        <v>101</v>
      </c>
      <c r="B447" s="202" t="s">
        <v>208</v>
      </c>
      <c r="C447" s="206" t="s">
        <v>43</v>
      </c>
      <c r="D447" s="204" t="s">
        <v>210</v>
      </c>
      <c r="E447" s="205">
        <v>552339797814.07605</v>
      </c>
    </row>
    <row r="448" spans="1:5" x14ac:dyDescent="0.25">
      <c r="A448" s="201" t="s">
        <v>101</v>
      </c>
      <c r="B448" s="202" t="s">
        <v>208</v>
      </c>
      <c r="C448" s="206" t="s">
        <v>43</v>
      </c>
      <c r="D448" s="204" t="s">
        <v>211</v>
      </c>
      <c r="E448" s="205">
        <v>10513469287.434185</v>
      </c>
    </row>
    <row r="449" spans="1:5" x14ac:dyDescent="0.25">
      <c r="A449" s="201" t="s">
        <v>101</v>
      </c>
      <c r="B449" s="202" t="s">
        <v>208</v>
      </c>
      <c r="C449" s="206" t="s">
        <v>43</v>
      </c>
      <c r="D449" s="204" t="s">
        <v>209</v>
      </c>
      <c r="E449" s="205">
        <v>12348976.915621258</v>
      </c>
    </row>
    <row r="450" spans="1:5" x14ac:dyDescent="0.25">
      <c r="A450" s="201" t="s">
        <v>101</v>
      </c>
      <c r="B450" s="202" t="s">
        <v>208</v>
      </c>
      <c r="C450" s="206" t="s">
        <v>43</v>
      </c>
      <c r="D450" s="204" t="s">
        <v>210</v>
      </c>
      <c r="E450" s="205">
        <v>47697539923.490913</v>
      </c>
    </row>
    <row r="451" spans="1:5" x14ac:dyDescent="0.25">
      <c r="A451" s="201" t="s">
        <v>101</v>
      </c>
      <c r="B451" s="202" t="s">
        <v>208</v>
      </c>
      <c r="C451" s="206" t="s">
        <v>43</v>
      </c>
      <c r="D451" s="204" t="s">
        <v>211</v>
      </c>
      <c r="E451" s="205">
        <v>5065211450.3596878</v>
      </c>
    </row>
    <row r="452" spans="1:5" x14ac:dyDescent="0.25">
      <c r="A452" s="201" t="s">
        <v>101</v>
      </c>
      <c r="B452" s="207" t="s">
        <v>212</v>
      </c>
      <c r="C452" s="208" t="s">
        <v>11</v>
      </c>
      <c r="D452" s="209" t="s">
        <v>209</v>
      </c>
      <c r="E452" s="205">
        <v>67616650939.142426</v>
      </c>
    </row>
    <row r="453" spans="1:5" x14ac:dyDescent="0.25">
      <c r="A453" s="201" t="s">
        <v>101</v>
      </c>
      <c r="B453" s="207" t="s">
        <v>212</v>
      </c>
      <c r="C453" s="208" t="s">
        <v>11</v>
      </c>
      <c r="D453" s="209" t="s">
        <v>210</v>
      </c>
      <c r="E453" s="205">
        <v>28442390164.057793</v>
      </c>
    </row>
    <row r="454" spans="1:5" x14ac:dyDescent="0.25">
      <c r="A454" s="201" t="s">
        <v>101</v>
      </c>
      <c r="B454" s="207" t="s">
        <v>212</v>
      </c>
      <c r="C454" s="208" t="s">
        <v>11</v>
      </c>
      <c r="D454" s="209" t="s">
        <v>211</v>
      </c>
      <c r="E454" s="205">
        <v>20992046463.308079</v>
      </c>
    </row>
    <row r="455" spans="1:5" x14ac:dyDescent="0.25">
      <c r="A455" s="201" t="s">
        <v>101</v>
      </c>
      <c r="B455" s="207" t="s">
        <v>212</v>
      </c>
      <c r="C455" s="208" t="s">
        <v>11</v>
      </c>
      <c r="D455" s="209" t="s">
        <v>209</v>
      </c>
      <c r="E455" s="205">
        <v>423774448860.23212</v>
      </c>
    </row>
    <row r="456" spans="1:5" x14ac:dyDescent="0.25">
      <c r="A456" s="201" t="s">
        <v>101</v>
      </c>
      <c r="B456" s="207" t="s">
        <v>212</v>
      </c>
      <c r="C456" s="208" t="s">
        <v>11</v>
      </c>
      <c r="D456" s="209" t="s">
        <v>210</v>
      </c>
      <c r="E456" s="205">
        <v>1553338540072.4038</v>
      </c>
    </row>
    <row r="457" spans="1:5" x14ac:dyDescent="0.25">
      <c r="A457" s="201" t="s">
        <v>101</v>
      </c>
      <c r="B457" s="207" t="s">
        <v>212</v>
      </c>
      <c r="C457" s="208" t="s">
        <v>11</v>
      </c>
      <c r="D457" s="209" t="s">
        <v>211</v>
      </c>
      <c r="E457" s="205">
        <v>28442390164.057793</v>
      </c>
    </row>
    <row r="458" spans="1:5" x14ac:dyDescent="0.25">
      <c r="A458" s="201" t="s">
        <v>101</v>
      </c>
      <c r="B458" s="207" t="s">
        <v>212</v>
      </c>
      <c r="C458" s="208" t="s">
        <v>11</v>
      </c>
      <c r="D458" s="209" t="s">
        <v>209</v>
      </c>
      <c r="E458" s="205">
        <v>5333970003.348649</v>
      </c>
    </row>
    <row r="459" spans="1:5" x14ac:dyDescent="0.25">
      <c r="A459" s="201" t="s">
        <v>101</v>
      </c>
      <c r="B459" s="207" t="s">
        <v>212</v>
      </c>
      <c r="C459" s="208" t="s">
        <v>11</v>
      </c>
      <c r="D459" s="209" t="s">
        <v>210</v>
      </c>
      <c r="E459" s="205">
        <v>1475071692289.2754</v>
      </c>
    </row>
    <row r="460" spans="1:5" x14ac:dyDescent="0.25">
      <c r="A460" s="201" t="s">
        <v>101</v>
      </c>
      <c r="B460" s="207" t="s">
        <v>212</v>
      </c>
      <c r="C460" s="208" t="s">
        <v>11</v>
      </c>
      <c r="D460" s="209" t="s">
        <v>211</v>
      </c>
      <c r="E460" s="205">
        <v>2393476890.7266269</v>
      </c>
    </row>
    <row r="461" spans="1:5" x14ac:dyDescent="0.25">
      <c r="A461" s="201" t="s">
        <v>101</v>
      </c>
      <c r="B461" s="207" t="s">
        <v>212</v>
      </c>
      <c r="C461" s="210" t="s">
        <v>43</v>
      </c>
      <c r="D461" s="209" t="s">
        <v>209</v>
      </c>
      <c r="E461" s="205">
        <v>117116117038.215</v>
      </c>
    </row>
    <row r="462" spans="1:5" x14ac:dyDescent="0.25">
      <c r="A462" s="201" t="s">
        <v>101</v>
      </c>
      <c r="B462" s="207" t="s">
        <v>212</v>
      </c>
      <c r="C462" s="210" t="s">
        <v>43</v>
      </c>
      <c r="D462" s="209" t="s">
        <v>210</v>
      </c>
      <c r="E462" s="205">
        <v>1484635196701.3716</v>
      </c>
    </row>
    <row r="463" spans="1:5" x14ac:dyDescent="0.25">
      <c r="A463" s="201" t="s">
        <v>101</v>
      </c>
      <c r="B463" s="207" t="s">
        <v>212</v>
      </c>
      <c r="C463" s="210" t="s">
        <v>43</v>
      </c>
      <c r="D463" s="209" t="s">
        <v>211</v>
      </c>
      <c r="E463" s="205">
        <v>27166836.052312315</v>
      </c>
    </row>
    <row r="464" spans="1:5" x14ac:dyDescent="0.25">
      <c r="A464" s="201" t="s">
        <v>101</v>
      </c>
      <c r="B464" s="207" t="s">
        <v>212</v>
      </c>
      <c r="C464" s="210" t="s">
        <v>43</v>
      </c>
      <c r="D464" s="209" t="s">
        <v>209</v>
      </c>
      <c r="E464" s="205">
        <v>269569723702.2767</v>
      </c>
    </row>
    <row r="465" spans="1:5" x14ac:dyDescent="0.25">
      <c r="A465" s="201" t="s">
        <v>101</v>
      </c>
      <c r="B465" s="207" t="s">
        <v>212</v>
      </c>
      <c r="C465" s="210" t="s">
        <v>43</v>
      </c>
      <c r="D465" s="209" t="s">
        <v>210</v>
      </c>
      <c r="E465" s="205">
        <v>135008895674.83292</v>
      </c>
    </row>
    <row r="466" spans="1:5" x14ac:dyDescent="0.25">
      <c r="A466" s="201" t="s">
        <v>101</v>
      </c>
      <c r="B466" s="207" t="s">
        <v>212</v>
      </c>
      <c r="C466" s="210" t="s">
        <v>43</v>
      </c>
      <c r="D466" s="209" t="s">
        <v>211</v>
      </c>
      <c r="E466" s="205">
        <v>110498670403.08997</v>
      </c>
    </row>
    <row r="467" spans="1:5" x14ac:dyDescent="0.25">
      <c r="A467" s="201" t="s">
        <v>101</v>
      </c>
      <c r="B467" s="207" t="s">
        <v>212</v>
      </c>
      <c r="C467" s="210" t="s">
        <v>43</v>
      </c>
      <c r="D467" s="209" t="s">
        <v>209</v>
      </c>
      <c r="E467" s="205">
        <v>266107960359.10577</v>
      </c>
    </row>
    <row r="468" spans="1:5" x14ac:dyDescent="0.25">
      <c r="A468" s="201" t="s">
        <v>101</v>
      </c>
      <c r="B468" s="207" t="s">
        <v>212</v>
      </c>
      <c r="C468" s="210" t="s">
        <v>43</v>
      </c>
      <c r="D468" s="209" t="s">
        <v>210</v>
      </c>
      <c r="E468" s="205">
        <v>148751632060.01532</v>
      </c>
    </row>
    <row r="469" spans="1:5" x14ac:dyDescent="0.25">
      <c r="A469" s="201" t="s">
        <v>101</v>
      </c>
      <c r="B469" s="207" t="s">
        <v>212</v>
      </c>
      <c r="C469" s="210" t="s">
        <v>43</v>
      </c>
      <c r="D469" s="209" t="s">
        <v>211</v>
      </c>
      <c r="E469" s="205">
        <v>457650128.82169104</v>
      </c>
    </row>
    <row r="470" spans="1:5" x14ac:dyDescent="0.25">
      <c r="A470" s="201" t="s">
        <v>101</v>
      </c>
      <c r="B470" s="211" t="s">
        <v>213</v>
      </c>
      <c r="C470" s="212" t="s">
        <v>11</v>
      </c>
      <c r="D470" s="213" t="s">
        <v>209</v>
      </c>
      <c r="E470" s="205">
        <v>7610529413.3158159</v>
      </c>
    </row>
    <row r="471" spans="1:5" x14ac:dyDescent="0.25">
      <c r="A471" s="201" t="s">
        <v>101</v>
      </c>
      <c r="B471" s="211" t="s">
        <v>213</v>
      </c>
      <c r="C471" s="212" t="s">
        <v>11</v>
      </c>
      <c r="D471" s="213" t="s">
        <v>210</v>
      </c>
      <c r="E471" s="205">
        <v>608563205897.39075</v>
      </c>
    </row>
    <row r="472" spans="1:5" x14ac:dyDescent="0.25">
      <c r="A472" s="201" t="s">
        <v>101</v>
      </c>
      <c r="B472" s="211" t="s">
        <v>213</v>
      </c>
      <c r="C472" s="212" t="s">
        <v>11</v>
      </c>
      <c r="D472" s="213" t="s">
        <v>211</v>
      </c>
      <c r="E472" s="205">
        <v>1860248303.0535982</v>
      </c>
    </row>
    <row r="473" spans="1:5" x14ac:dyDescent="0.25">
      <c r="A473" s="201" t="s">
        <v>101</v>
      </c>
      <c r="B473" s="211" t="s">
        <v>213</v>
      </c>
      <c r="C473" s="212" t="s">
        <v>11</v>
      </c>
      <c r="D473" s="213" t="s">
        <v>209</v>
      </c>
      <c r="E473" s="205">
        <v>1897891803940.366</v>
      </c>
    </row>
    <row r="474" spans="1:5" x14ac:dyDescent="0.25">
      <c r="A474" s="201" t="s">
        <v>101</v>
      </c>
      <c r="B474" s="211" t="s">
        <v>213</v>
      </c>
      <c r="C474" s="212" t="s">
        <v>11</v>
      </c>
      <c r="D474" s="213" t="s">
        <v>210</v>
      </c>
      <c r="E474" s="205">
        <v>6354919732302.7803</v>
      </c>
    </row>
    <row r="475" spans="1:5" x14ac:dyDescent="0.25">
      <c r="A475" s="201" t="s">
        <v>101</v>
      </c>
      <c r="B475" s="211" t="s">
        <v>213</v>
      </c>
      <c r="C475" s="212" t="s">
        <v>11</v>
      </c>
      <c r="D475" s="213" t="s">
        <v>211</v>
      </c>
      <c r="E475" s="205">
        <v>34084078065.648174</v>
      </c>
    </row>
    <row r="476" spans="1:5" x14ac:dyDescent="0.25">
      <c r="A476" s="201" t="s">
        <v>101</v>
      </c>
      <c r="B476" s="211" t="s">
        <v>213</v>
      </c>
      <c r="C476" s="212" t="s">
        <v>11</v>
      </c>
      <c r="D476" s="213" t="s">
        <v>209</v>
      </c>
      <c r="E476" s="205">
        <v>102916306660.92145</v>
      </c>
    </row>
    <row r="477" spans="1:5" x14ac:dyDescent="0.25">
      <c r="A477" s="201" t="s">
        <v>101</v>
      </c>
      <c r="B477" s="211" t="s">
        <v>213</v>
      </c>
      <c r="C477" s="212" t="s">
        <v>11</v>
      </c>
      <c r="D477" s="213" t="s">
        <v>210</v>
      </c>
      <c r="E477" s="205">
        <v>1494260705297.4751</v>
      </c>
    </row>
    <row r="478" spans="1:5" x14ac:dyDescent="0.25">
      <c r="A478" s="201" t="s">
        <v>101</v>
      </c>
      <c r="B478" s="211" t="s">
        <v>213</v>
      </c>
      <c r="C478" s="212" t="s">
        <v>11</v>
      </c>
      <c r="D478" s="213" t="s">
        <v>211</v>
      </c>
      <c r="E478" s="205">
        <v>20992046463.308079</v>
      </c>
    </row>
    <row r="479" spans="1:5" x14ac:dyDescent="0.25">
      <c r="A479" s="201" t="s">
        <v>101</v>
      </c>
      <c r="B479" s="211" t="s">
        <v>213</v>
      </c>
      <c r="C479" s="214" t="s">
        <v>43</v>
      </c>
      <c r="D479" s="213" t="s">
        <v>209</v>
      </c>
      <c r="E479" s="205">
        <v>4971167211534.6865</v>
      </c>
    </row>
    <row r="480" spans="1:5" x14ac:dyDescent="0.25">
      <c r="A480" s="201" t="s">
        <v>101</v>
      </c>
      <c r="B480" s="211" t="s">
        <v>213</v>
      </c>
      <c r="C480" s="214" t="s">
        <v>43</v>
      </c>
      <c r="D480" s="213" t="s">
        <v>210</v>
      </c>
      <c r="E480" s="205">
        <v>22699428590558.66</v>
      </c>
    </row>
    <row r="481" spans="1:5" x14ac:dyDescent="0.25">
      <c r="A481" s="201" t="s">
        <v>101</v>
      </c>
      <c r="B481" s="211" t="s">
        <v>213</v>
      </c>
      <c r="C481" s="214" t="s">
        <v>43</v>
      </c>
      <c r="D481" s="213" t="s">
        <v>211</v>
      </c>
      <c r="E481" s="205">
        <v>362890668352.87219</v>
      </c>
    </row>
    <row r="482" spans="1:5" x14ac:dyDescent="0.25">
      <c r="A482" s="201" t="s">
        <v>101</v>
      </c>
      <c r="B482" s="211" t="s">
        <v>213</v>
      </c>
      <c r="C482" s="214" t="s">
        <v>43</v>
      </c>
      <c r="D482" s="213" t="s">
        <v>209</v>
      </c>
      <c r="E482" s="205">
        <v>58655391302.463028</v>
      </c>
    </row>
    <row r="483" spans="1:5" x14ac:dyDescent="0.25">
      <c r="A483" s="201" t="s">
        <v>101</v>
      </c>
      <c r="B483" s="211" t="s">
        <v>213</v>
      </c>
      <c r="C483" s="214" t="s">
        <v>43</v>
      </c>
      <c r="D483" s="213" t="s">
        <v>210</v>
      </c>
      <c r="E483" s="205">
        <v>10251802198783.303</v>
      </c>
    </row>
    <row r="484" spans="1:5" x14ac:dyDescent="0.25">
      <c r="A484" s="201" t="s">
        <v>101</v>
      </c>
      <c r="B484" s="211" t="s">
        <v>213</v>
      </c>
      <c r="C484" s="214" t="s">
        <v>43</v>
      </c>
      <c r="D484" s="213" t="s">
        <v>211</v>
      </c>
      <c r="E484" s="205">
        <v>117116117038.215</v>
      </c>
    </row>
    <row r="485" spans="1:5" x14ac:dyDescent="0.25">
      <c r="A485" s="201" t="s">
        <v>101</v>
      </c>
      <c r="B485" s="211" t="s">
        <v>213</v>
      </c>
      <c r="C485" s="214" t="s">
        <v>43</v>
      </c>
      <c r="D485" s="213" t="s">
        <v>209</v>
      </c>
      <c r="E485" s="205">
        <v>157659938227.44754</v>
      </c>
    </row>
    <row r="486" spans="1:5" x14ac:dyDescent="0.25">
      <c r="A486" s="201" t="s">
        <v>101</v>
      </c>
      <c r="B486" s="211" t="s">
        <v>213</v>
      </c>
      <c r="C486" s="214" t="s">
        <v>43</v>
      </c>
      <c r="D486" s="213" t="s">
        <v>210</v>
      </c>
      <c r="E486" s="205">
        <v>15205624439250.584</v>
      </c>
    </row>
    <row r="487" spans="1:5" x14ac:dyDescent="0.25">
      <c r="A487" s="201" t="s">
        <v>101</v>
      </c>
      <c r="B487" s="211" t="s">
        <v>213</v>
      </c>
      <c r="C487" s="214" t="s">
        <v>43</v>
      </c>
      <c r="D487" s="213" t="s">
        <v>211</v>
      </c>
      <c r="E487" s="205">
        <v>297009587066.46051</v>
      </c>
    </row>
    <row r="488" spans="1:5" x14ac:dyDescent="0.25">
      <c r="A488" s="201" t="s">
        <v>102</v>
      </c>
      <c r="B488" s="202" t="s">
        <v>208</v>
      </c>
      <c r="C488" s="203" t="s">
        <v>11</v>
      </c>
      <c r="D488" s="204" t="s">
        <v>209</v>
      </c>
      <c r="E488" s="205">
        <v>13659888704.423197</v>
      </c>
    </row>
    <row r="489" spans="1:5" x14ac:dyDescent="0.25">
      <c r="A489" s="201" t="s">
        <v>102</v>
      </c>
      <c r="B489" s="202" t="s">
        <v>208</v>
      </c>
      <c r="C489" s="203" t="s">
        <v>11</v>
      </c>
      <c r="D489" s="204" t="s">
        <v>210</v>
      </c>
      <c r="E489" s="205">
        <v>161509046289.02271</v>
      </c>
    </row>
    <row r="490" spans="1:5" x14ac:dyDescent="0.25">
      <c r="A490" s="201" t="s">
        <v>102</v>
      </c>
      <c r="B490" s="202" t="s">
        <v>208</v>
      </c>
      <c r="C490" s="203" t="s">
        <v>11</v>
      </c>
      <c r="D490" s="204" t="s">
        <v>211</v>
      </c>
      <c r="E490" s="205">
        <v>869746934.84704804</v>
      </c>
    </row>
    <row r="491" spans="1:5" x14ac:dyDescent="0.25">
      <c r="A491" s="201" t="s">
        <v>102</v>
      </c>
      <c r="B491" s="202" t="s">
        <v>208</v>
      </c>
      <c r="C491" s="203" t="s">
        <v>11</v>
      </c>
      <c r="D491" s="204" t="s">
        <v>209</v>
      </c>
      <c r="E491" s="205">
        <v>50784450937.864876</v>
      </c>
    </row>
    <row r="492" spans="1:5" x14ac:dyDescent="0.25">
      <c r="A492" s="201" t="s">
        <v>102</v>
      </c>
      <c r="B492" s="202" t="s">
        <v>208</v>
      </c>
      <c r="C492" s="203" t="s">
        <v>11</v>
      </c>
      <c r="D492" s="204" t="s">
        <v>210</v>
      </c>
      <c r="E492" s="205">
        <v>583646649710.16101</v>
      </c>
    </row>
    <row r="493" spans="1:5" x14ac:dyDescent="0.25">
      <c r="A493" s="201" t="s">
        <v>102</v>
      </c>
      <c r="B493" s="202" t="s">
        <v>208</v>
      </c>
      <c r="C493" s="203" t="s">
        <v>11</v>
      </c>
      <c r="D493" s="204" t="s">
        <v>211</v>
      </c>
      <c r="E493" s="205">
        <v>333610729.01956469</v>
      </c>
    </row>
    <row r="494" spans="1:5" x14ac:dyDescent="0.25">
      <c r="A494" s="201" t="s">
        <v>102</v>
      </c>
      <c r="B494" s="202" t="s">
        <v>208</v>
      </c>
      <c r="C494" s="203" t="s">
        <v>11</v>
      </c>
      <c r="D494" s="204" t="s">
        <v>209</v>
      </c>
      <c r="E494" s="205">
        <v>11277597263.731045</v>
      </c>
    </row>
    <row r="495" spans="1:5" x14ac:dyDescent="0.25">
      <c r="A495" s="201" t="s">
        <v>102</v>
      </c>
      <c r="B495" s="202" t="s">
        <v>208</v>
      </c>
      <c r="C495" s="203" t="s">
        <v>11</v>
      </c>
      <c r="D495" s="204" t="s">
        <v>210</v>
      </c>
      <c r="E495" s="205">
        <v>199836711484.78836</v>
      </c>
    </row>
    <row r="496" spans="1:5" x14ac:dyDescent="0.25">
      <c r="A496" s="201" t="s">
        <v>102</v>
      </c>
      <c r="B496" s="202" t="s">
        <v>208</v>
      </c>
      <c r="C496" s="203" t="s">
        <v>11</v>
      </c>
      <c r="D496" s="204" t="s">
        <v>211</v>
      </c>
      <c r="E496" s="205">
        <v>1369872686.5989201</v>
      </c>
    </row>
    <row r="497" spans="1:5" x14ac:dyDescent="0.25">
      <c r="A497" s="201" t="s">
        <v>102</v>
      </c>
      <c r="B497" s="202" t="s">
        <v>208</v>
      </c>
      <c r="C497" s="206" t="s">
        <v>43</v>
      </c>
      <c r="D497" s="204" t="s">
        <v>209</v>
      </c>
      <c r="E497" s="205">
        <v>64188470194.926231</v>
      </c>
    </row>
    <row r="498" spans="1:5" x14ac:dyDescent="0.25">
      <c r="A498" s="201" t="s">
        <v>102</v>
      </c>
      <c r="B498" s="202" t="s">
        <v>208</v>
      </c>
      <c r="C498" s="206" t="s">
        <v>43</v>
      </c>
      <c r="D498" s="204" t="s">
        <v>210</v>
      </c>
      <c r="E498" s="205">
        <v>1051978741426.8248</v>
      </c>
    </row>
    <row r="499" spans="1:5" x14ac:dyDescent="0.25">
      <c r="A499" s="201" t="s">
        <v>102</v>
      </c>
      <c r="B499" s="202" t="s">
        <v>208</v>
      </c>
      <c r="C499" s="206" t="s">
        <v>43</v>
      </c>
      <c r="D499" s="204" t="s">
        <v>211</v>
      </c>
      <c r="E499" s="205">
        <v>8550561463.5327158</v>
      </c>
    </row>
    <row r="500" spans="1:5" x14ac:dyDescent="0.25">
      <c r="A500" s="201" t="s">
        <v>102</v>
      </c>
      <c r="B500" s="202" t="s">
        <v>208</v>
      </c>
      <c r="C500" s="206" t="s">
        <v>43</v>
      </c>
      <c r="D500" s="204" t="s">
        <v>209</v>
      </c>
      <c r="E500" s="205">
        <v>20617631642.114765</v>
      </c>
    </row>
    <row r="501" spans="1:5" x14ac:dyDescent="0.25">
      <c r="A501" s="201" t="s">
        <v>102</v>
      </c>
      <c r="B501" s="202" t="s">
        <v>208</v>
      </c>
      <c r="C501" s="206" t="s">
        <v>43</v>
      </c>
      <c r="D501" s="204" t="s">
        <v>210</v>
      </c>
      <c r="E501" s="205">
        <v>247259903854.4921</v>
      </c>
    </row>
    <row r="502" spans="1:5" x14ac:dyDescent="0.25">
      <c r="A502" s="201" t="s">
        <v>102</v>
      </c>
      <c r="B502" s="202" t="s">
        <v>208</v>
      </c>
      <c r="C502" s="206" t="s">
        <v>43</v>
      </c>
      <c r="D502" s="204" t="s">
        <v>211</v>
      </c>
      <c r="E502" s="205">
        <v>317440044.11760646</v>
      </c>
    </row>
    <row r="503" spans="1:5" x14ac:dyDescent="0.25">
      <c r="A503" s="201" t="s">
        <v>102</v>
      </c>
      <c r="B503" s="202" t="s">
        <v>208</v>
      </c>
      <c r="C503" s="206" t="s">
        <v>43</v>
      </c>
      <c r="D503" s="204" t="s">
        <v>209</v>
      </c>
      <c r="E503" s="205">
        <v>140333415.14754438</v>
      </c>
    </row>
    <row r="504" spans="1:5" x14ac:dyDescent="0.25">
      <c r="A504" s="201" t="s">
        <v>102</v>
      </c>
      <c r="B504" s="202" t="s">
        <v>208</v>
      </c>
      <c r="C504" s="206" t="s">
        <v>43</v>
      </c>
      <c r="D504" s="204" t="s">
        <v>210</v>
      </c>
      <c r="E504" s="205">
        <v>10138585559.189322</v>
      </c>
    </row>
    <row r="505" spans="1:5" x14ac:dyDescent="0.25">
      <c r="A505" s="201" t="s">
        <v>207</v>
      </c>
      <c r="B505" s="202" t="s">
        <v>208</v>
      </c>
      <c r="C505" s="203" t="s">
        <v>11</v>
      </c>
      <c r="D505" s="204" t="s">
        <v>209</v>
      </c>
      <c r="E505" s="205">
        <v>810381791276.26599</v>
      </c>
    </row>
    <row r="506" spans="1:5" x14ac:dyDescent="0.25">
      <c r="A506" s="201" t="s">
        <v>207</v>
      </c>
      <c r="B506" s="202" t="s">
        <v>208</v>
      </c>
      <c r="C506" s="203" t="s">
        <v>11</v>
      </c>
      <c r="D506" s="204" t="s">
        <v>210</v>
      </c>
      <c r="E506" s="205">
        <v>811845227943.15295</v>
      </c>
    </row>
    <row r="507" spans="1:5" x14ac:dyDescent="0.25">
      <c r="A507" s="201" t="s">
        <v>207</v>
      </c>
      <c r="B507" s="202" t="s">
        <v>208</v>
      </c>
      <c r="C507" s="203" t="s">
        <v>11</v>
      </c>
      <c r="D507" s="204" t="s">
        <v>211</v>
      </c>
      <c r="E507" s="205">
        <v>813308664610.04004</v>
      </c>
    </row>
    <row r="508" spans="1:5" x14ac:dyDescent="0.25">
      <c r="A508" s="201" t="s">
        <v>207</v>
      </c>
      <c r="B508" s="202" t="s">
        <v>208</v>
      </c>
      <c r="C508" s="203" t="s">
        <v>11</v>
      </c>
      <c r="D508" s="204" t="s">
        <v>209</v>
      </c>
      <c r="E508" s="205">
        <v>814772101276.927</v>
      </c>
    </row>
    <row r="509" spans="1:5" x14ac:dyDescent="0.25">
      <c r="A509" s="201" t="s">
        <v>207</v>
      </c>
      <c r="B509" s="202" t="s">
        <v>208</v>
      </c>
      <c r="C509" s="203" t="s">
        <v>11</v>
      </c>
      <c r="D509" s="204" t="s">
        <v>210</v>
      </c>
      <c r="E509" s="205">
        <v>816235537943.81396</v>
      </c>
    </row>
    <row r="510" spans="1:5" x14ac:dyDescent="0.25">
      <c r="A510" s="201" t="s">
        <v>207</v>
      </c>
      <c r="B510" s="202" t="s">
        <v>208</v>
      </c>
      <c r="C510" s="203" t="s">
        <v>11</v>
      </c>
      <c r="D510" s="204" t="s">
        <v>211</v>
      </c>
      <c r="E510" s="205">
        <v>817698974610.70105</v>
      </c>
    </row>
    <row r="511" spans="1:5" x14ac:dyDescent="0.25">
      <c r="A511" s="201" t="s">
        <v>207</v>
      </c>
      <c r="B511" s="202" t="s">
        <v>208</v>
      </c>
      <c r="C511" s="203" t="s">
        <v>11</v>
      </c>
      <c r="D511" s="204" t="s">
        <v>209</v>
      </c>
      <c r="E511" s="205">
        <v>819162411277.58801</v>
      </c>
    </row>
    <row r="512" spans="1:5" x14ac:dyDescent="0.25">
      <c r="A512" s="201" t="s">
        <v>207</v>
      </c>
      <c r="B512" s="202" t="s">
        <v>208</v>
      </c>
      <c r="C512" s="203" t="s">
        <v>11</v>
      </c>
      <c r="D512" s="204" t="s">
        <v>210</v>
      </c>
      <c r="E512" s="205">
        <v>820625847944.47498</v>
      </c>
    </row>
    <row r="513" spans="1:5" x14ac:dyDescent="0.25">
      <c r="A513" s="201" t="s">
        <v>207</v>
      </c>
      <c r="B513" s="202" t="s">
        <v>208</v>
      </c>
      <c r="C513" s="203" t="s">
        <v>11</v>
      </c>
      <c r="D513" s="204" t="s">
        <v>211</v>
      </c>
      <c r="E513" s="205">
        <v>822089284611.36304</v>
      </c>
    </row>
    <row r="514" spans="1:5" x14ac:dyDescent="0.25">
      <c r="A514" s="201" t="s">
        <v>207</v>
      </c>
      <c r="B514" s="202" t="s">
        <v>208</v>
      </c>
      <c r="C514" s="206" t="s">
        <v>43</v>
      </c>
      <c r="D514" s="204" t="s">
        <v>209</v>
      </c>
      <c r="E514" s="205">
        <v>823552721278.25</v>
      </c>
    </row>
    <row r="515" spans="1:5" x14ac:dyDescent="0.25">
      <c r="A515" s="201" t="s">
        <v>207</v>
      </c>
      <c r="B515" s="202" t="s">
        <v>208</v>
      </c>
      <c r="C515" s="206" t="s">
        <v>43</v>
      </c>
      <c r="D515" s="204" t="s">
        <v>210</v>
      </c>
      <c r="E515" s="205">
        <v>825016157945.13696</v>
      </c>
    </row>
    <row r="516" spans="1:5" x14ac:dyDescent="0.25">
      <c r="A516" s="201" t="s">
        <v>207</v>
      </c>
      <c r="B516" s="202" t="s">
        <v>208</v>
      </c>
      <c r="C516" s="206" t="s">
        <v>43</v>
      </c>
      <c r="D516" s="204" t="s">
        <v>211</v>
      </c>
      <c r="E516" s="205">
        <v>826479594612.02405</v>
      </c>
    </row>
    <row r="517" spans="1:5" x14ac:dyDescent="0.25">
      <c r="A517" s="201" t="s">
        <v>207</v>
      </c>
      <c r="B517" s="202" t="s">
        <v>208</v>
      </c>
      <c r="C517" s="206" t="s">
        <v>43</v>
      </c>
      <c r="D517" s="204" t="s">
        <v>209</v>
      </c>
      <c r="E517" s="205">
        <v>827943031278.91101</v>
      </c>
    </row>
    <row r="518" spans="1:5" x14ac:dyDescent="0.25">
      <c r="A518" s="201" t="s">
        <v>207</v>
      </c>
      <c r="B518" s="202" t="s">
        <v>208</v>
      </c>
      <c r="C518" s="206" t="s">
        <v>43</v>
      </c>
      <c r="D518" s="204" t="s">
        <v>210</v>
      </c>
      <c r="E518" s="205">
        <v>829406467945.79797</v>
      </c>
    </row>
    <row r="519" spans="1:5" x14ac:dyDescent="0.25">
      <c r="A519" s="201" t="s">
        <v>207</v>
      </c>
      <c r="B519" s="202" t="s">
        <v>208</v>
      </c>
      <c r="C519" s="206" t="s">
        <v>43</v>
      </c>
      <c r="D519" s="204" t="s">
        <v>211</v>
      </c>
      <c r="E519" s="205">
        <v>830869904612.68506</v>
      </c>
    </row>
    <row r="520" spans="1:5" x14ac:dyDescent="0.25">
      <c r="A520" s="201" t="s">
        <v>207</v>
      </c>
      <c r="B520" s="202" t="s">
        <v>208</v>
      </c>
      <c r="C520" s="206" t="s">
        <v>43</v>
      </c>
      <c r="D520" s="204" t="s">
        <v>209</v>
      </c>
      <c r="E520" s="205">
        <v>832333341279.573</v>
      </c>
    </row>
    <row r="521" spans="1:5" x14ac:dyDescent="0.25">
      <c r="A521" s="201" t="s">
        <v>207</v>
      </c>
      <c r="B521" s="202" t="s">
        <v>208</v>
      </c>
      <c r="C521" s="206" t="s">
        <v>43</v>
      </c>
      <c r="D521" s="204" t="s">
        <v>210</v>
      </c>
      <c r="E521" s="205">
        <v>833796777946.45996</v>
      </c>
    </row>
    <row r="522" spans="1:5" x14ac:dyDescent="0.25">
      <c r="A522" s="201" t="s">
        <v>207</v>
      </c>
      <c r="B522" s="202" t="s">
        <v>208</v>
      </c>
      <c r="C522" s="206" t="s">
        <v>43</v>
      </c>
      <c r="D522" s="204" t="s">
        <v>211</v>
      </c>
      <c r="E522" s="205">
        <v>835260214613.34705</v>
      </c>
    </row>
    <row r="523" spans="1:5" x14ac:dyDescent="0.25">
      <c r="A523" s="201" t="s">
        <v>207</v>
      </c>
      <c r="B523" s="207" t="s">
        <v>212</v>
      </c>
      <c r="C523" s="208" t="s">
        <v>11</v>
      </c>
      <c r="D523" s="209" t="s">
        <v>209</v>
      </c>
      <c r="E523" s="205">
        <v>836723651280.23401</v>
      </c>
    </row>
    <row r="524" spans="1:5" x14ac:dyDescent="0.25">
      <c r="A524" s="201" t="s">
        <v>207</v>
      </c>
      <c r="B524" s="207" t="s">
        <v>212</v>
      </c>
      <c r="C524" s="208" t="s">
        <v>11</v>
      </c>
      <c r="D524" s="209" t="s">
        <v>210</v>
      </c>
      <c r="E524" s="205">
        <v>838187087947.12097</v>
      </c>
    </row>
    <row r="525" spans="1:5" x14ac:dyDescent="0.25">
      <c r="A525" s="201" t="s">
        <v>207</v>
      </c>
      <c r="B525" s="207" t="s">
        <v>212</v>
      </c>
      <c r="C525" s="208" t="s">
        <v>11</v>
      </c>
      <c r="D525" s="209" t="s">
        <v>211</v>
      </c>
      <c r="E525" s="205">
        <v>839650524614.00806</v>
      </c>
    </row>
    <row r="526" spans="1:5" x14ac:dyDescent="0.25">
      <c r="A526" s="201" t="s">
        <v>207</v>
      </c>
      <c r="B526" s="207" t="s">
        <v>212</v>
      </c>
      <c r="C526" s="208" t="s">
        <v>11</v>
      </c>
      <c r="D526" s="209" t="s">
        <v>209</v>
      </c>
      <c r="E526" s="205">
        <v>841113961280.89502</v>
      </c>
    </row>
    <row r="527" spans="1:5" x14ac:dyDescent="0.25">
      <c r="A527" s="201" t="s">
        <v>207</v>
      </c>
      <c r="B527" s="207" t="s">
        <v>212</v>
      </c>
      <c r="C527" s="208" t="s">
        <v>11</v>
      </c>
      <c r="D527" s="209" t="s">
        <v>210</v>
      </c>
      <c r="E527" s="205">
        <v>842577397947.78198</v>
      </c>
    </row>
    <row r="528" spans="1:5" x14ac:dyDescent="0.25">
      <c r="A528" s="201" t="s">
        <v>207</v>
      </c>
      <c r="B528" s="207" t="s">
        <v>212</v>
      </c>
      <c r="C528" s="208" t="s">
        <v>11</v>
      </c>
      <c r="D528" s="209" t="s">
        <v>211</v>
      </c>
      <c r="E528" s="205">
        <v>844040834614.67004</v>
      </c>
    </row>
    <row r="529" spans="1:5" x14ac:dyDescent="0.25">
      <c r="A529" s="201" t="s">
        <v>207</v>
      </c>
      <c r="B529" s="207" t="s">
        <v>212</v>
      </c>
      <c r="C529" s="208" t="s">
        <v>11</v>
      </c>
      <c r="D529" s="209" t="s">
        <v>209</v>
      </c>
      <c r="E529" s="205">
        <v>845504271281.55701</v>
      </c>
    </row>
    <row r="530" spans="1:5" x14ac:dyDescent="0.25">
      <c r="A530" s="201" t="s">
        <v>207</v>
      </c>
      <c r="B530" s="207" t="s">
        <v>212</v>
      </c>
      <c r="C530" s="208" t="s">
        <v>11</v>
      </c>
      <c r="D530" s="209" t="s">
        <v>210</v>
      </c>
      <c r="E530" s="205">
        <v>846967707948.44397</v>
      </c>
    </row>
    <row r="531" spans="1:5" x14ac:dyDescent="0.25">
      <c r="A531" s="201" t="s">
        <v>207</v>
      </c>
      <c r="B531" s="207" t="s">
        <v>212</v>
      </c>
      <c r="C531" s="208" t="s">
        <v>11</v>
      </c>
      <c r="D531" s="209" t="s">
        <v>211</v>
      </c>
      <c r="E531" s="205">
        <v>848431144615.33105</v>
      </c>
    </row>
    <row r="532" spans="1:5" x14ac:dyDescent="0.25">
      <c r="A532" s="201" t="s">
        <v>207</v>
      </c>
      <c r="B532" s="207" t="s">
        <v>212</v>
      </c>
      <c r="C532" s="210" t="s">
        <v>43</v>
      </c>
      <c r="D532" s="209" t="s">
        <v>209</v>
      </c>
      <c r="E532" s="205">
        <v>849894581282.21802</v>
      </c>
    </row>
    <row r="533" spans="1:5" x14ac:dyDescent="0.25">
      <c r="A533" s="201" t="s">
        <v>207</v>
      </c>
      <c r="B533" s="207" t="s">
        <v>212</v>
      </c>
      <c r="C533" s="210" t="s">
        <v>43</v>
      </c>
      <c r="D533" s="209" t="s">
        <v>210</v>
      </c>
      <c r="E533" s="205">
        <v>851358017949.10498</v>
      </c>
    </row>
    <row r="534" spans="1:5" x14ac:dyDescent="0.25">
      <c r="A534" s="201" t="s">
        <v>207</v>
      </c>
      <c r="B534" s="207" t="s">
        <v>212</v>
      </c>
      <c r="C534" s="210" t="s">
        <v>43</v>
      </c>
      <c r="D534" s="209" t="s">
        <v>211</v>
      </c>
      <c r="E534" s="205">
        <v>852821454615.99194</v>
      </c>
    </row>
    <row r="535" spans="1:5" x14ac:dyDescent="0.25">
      <c r="A535" s="201" t="s">
        <v>207</v>
      </c>
      <c r="B535" s="207" t="s">
        <v>212</v>
      </c>
      <c r="C535" s="210" t="s">
        <v>43</v>
      </c>
      <c r="D535" s="209" t="s">
        <v>209</v>
      </c>
      <c r="E535" s="205">
        <v>854284891282.88</v>
      </c>
    </row>
    <row r="536" spans="1:5" x14ac:dyDescent="0.25">
      <c r="A536" s="201" t="s">
        <v>207</v>
      </c>
      <c r="B536" s="207" t="s">
        <v>212</v>
      </c>
      <c r="C536" s="210" t="s">
        <v>43</v>
      </c>
      <c r="D536" s="209" t="s">
        <v>210</v>
      </c>
      <c r="E536" s="205">
        <v>855748327949.76697</v>
      </c>
    </row>
    <row r="537" spans="1:5" x14ac:dyDescent="0.25">
      <c r="A537" s="201" t="s">
        <v>207</v>
      </c>
      <c r="B537" s="207" t="s">
        <v>212</v>
      </c>
      <c r="C537" s="210" t="s">
        <v>43</v>
      </c>
      <c r="D537" s="209" t="s">
        <v>211</v>
      </c>
      <c r="E537" s="205">
        <v>857211764616.65405</v>
      </c>
    </row>
    <row r="538" spans="1:5" x14ac:dyDescent="0.25">
      <c r="A538" s="201" t="s">
        <v>207</v>
      </c>
      <c r="B538" s="207" t="s">
        <v>212</v>
      </c>
      <c r="C538" s="210" t="s">
        <v>43</v>
      </c>
      <c r="D538" s="209" t="s">
        <v>209</v>
      </c>
      <c r="E538" s="205">
        <v>858675201283.54102</v>
      </c>
    </row>
    <row r="539" spans="1:5" x14ac:dyDescent="0.25">
      <c r="A539" s="201" t="s">
        <v>207</v>
      </c>
      <c r="B539" s="207" t="s">
        <v>212</v>
      </c>
      <c r="C539" s="210" t="s">
        <v>43</v>
      </c>
      <c r="D539" s="209" t="s">
        <v>210</v>
      </c>
      <c r="E539" s="205">
        <v>860138637950.42798</v>
      </c>
    </row>
    <row r="540" spans="1:5" x14ac:dyDescent="0.25">
      <c r="A540" s="201" t="s">
        <v>207</v>
      </c>
      <c r="B540" s="207" t="s">
        <v>212</v>
      </c>
      <c r="C540" s="210" t="s">
        <v>43</v>
      </c>
      <c r="D540" s="209" t="s">
        <v>211</v>
      </c>
      <c r="E540" s="205">
        <v>861602074617.31494</v>
      </c>
    </row>
    <row r="541" spans="1:5" x14ac:dyDescent="0.25">
      <c r="A541"/>
      <c r="B541"/>
      <c r="C541"/>
      <c r="D541"/>
    </row>
    <row r="542" spans="1:5" x14ac:dyDescent="0.25">
      <c r="A542"/>
      <c r="B542"/>
      <c r="C542"/>
      <c r="D542"/>
    </row>
    <row r="543" spans="1:5" x14ac:dyDescent="0.25">
      <c r="A543"/>
      <c r="B543"/>
      <c r="C543"/>
      <c r="D543"/>
    </row>
    <row r="544" spans="1:5" x14ac:dyDescent="0.25">
      <c r="A544"/>
      <c r="B544"/>
      <c r="C544"/>
      <c r="D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</sheetData>
  <autoFilter ref="A1:E541" xr:uid="{00000000-0009-0000-0000-000004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1"/>
  <sheetViews>
    <sheetView workbookViewId="0">
      <selection sqref="A1:XFD1048576"/>
    </sheetView>
  </sheetViews>
  <sheetFormatPr defaultColWidth="11.42578125" defaultRowHeight="15" x14ac:dyDescent="0.25"/>
  <sheetData>
    <row r="1" spans="1:5" x14ac:dyDescent="0.25">
      <c r="A1" s="215" t="s">
        <v>155</v>
      </c>
      <c r="B1" s="216" t="s">
        <v>104</v>
      </c>
      <c r="C1" s="217" t="s">
        <v>105</v>
      </c>
      <c r="D1" s="216" t="s">
        <v>2</v>
      </c>
      <c r="E1" s="218" t="s">
        <v>206</v>
      </c>
    </row>
    <row r="2" spans="1:5" x14ac:dyDescent="0.25">
      <c r="A2" s="201" t="s">
        <v>207</v>
      </c>
      <c r="B2" s="219" t="s">
        <v>212</v>
      </c>
      <c r="C2" s="97" t="s">
        <v>11</v>
      </c>
      <c r="D2" s="209" t="s">
        <v>209</v>
      </c>
      <c r="E2" s="205">
        <v>5616683332.3223925</v>
      </c>
    </row>
    <row r="3" spans="1:5" x14ac:dyDescent="0.25">
      <c r="A3" s="201" t="s">
        <v>207</v>
      </c>
      <c r="B3" s="219" t="s">
        <v>212</v>
      </c>
      <c r="C3" s="97" t="s">
        <v>11</v>
      </c>
      <c r="D3" s="209" t="s">
        <v>209</v>
      </c>
      <c r="E3" s="205">
        <v>59937349055.676201</v>
      </c>
    </row>
    <row r="4" spans="1:5" x14ac:dyDescent="0.25">
      <c r="A4" s="201" t="s">
        <v>207</v>
      </c>
      <c r="B4" s="219" t="s">
        <v>212</v>
      </c>
      <c r="C4" s="97" t="s">
        <v>11</v>
      </c>
      <c r="D4" s="209" t="s">
        <v>209</v>
      </c>
      <c r="E4" s="205">
        <v>3375141475.922379</v>
      </c>
    </row>
    <row r="5" spans="1:5" x14ac:dyDescent="0.25">
      <c r="A5" s="201" t="s">
        <v>207</v>
      </c>
      <c r="B5" s="219" t="s">
        <v>212</v>
      </c>
      <c r="C5" s="98" t="s">
        <v>43</v>
      </c>
      <c r="D5" s="209" t="s">
        <v>209</v>
      </c>
      <c r="E5" s="205">
        <v>83029017.262199372</v>
      </c>
    </row>
    <row r="6" spans="1:5" x14ac:dyDescent="0.25">
      <c r="A6" s="201" t="s">
        <v>207</v>
      </c>
      <c r="B6" s="219" t="s">
        <v>212</v>
      </c>
      <c r="C6" s="98" t="s">
        <v>43</v>
      </c>
      <c r="D6" s="209" t="s">
        <v>209</v>
      </c>
      <c r="E6" s="205">
        <v>1551777651.2477281</v>
      </c>
    </row>
    <row r="7" spans="1:5" x14ac:dyDescent="0.25">
      <c r="A7" s="201" t="s">
        <v>207</v>
      </c>
      <c r="B7" s="219" t="s">
        <v>212</v>
      </c>
      <c r="C7" s="98" t="s">
        <v>43</v>
      </c>
      <c r="D7" s="209" t="s">
        <v>209</v>
      </c>
      <c r="E7" s="205">
        <v>268738390.48974502</v>
      </c>
    </row>
    <row r="8" spans="1:5" x14ac:dyDescent="0.25">
      <c r="A8" s="201" t="s">
        <v>207</v>
      </c>
      <c r="B8" s="219" t="s">
        <v>212</v>
      </c>
      <c r="C8" s="97" t="s">
        <v>11</v>
      </c>
      <c r="D8" s="209" t="s">
        <v>210</v>
      </c>
      <c r="E8" s="205">
        <v>387061431990.63513</v>
      </c>
    </row>
    <row r="9" spans="1:5" x14ac:dyDescent="0.25">
      <c r="A9" s="201" t="s">
        <v>207</v>
      </c>
      <c r="B9" s="219" t="s">
        <v>212</v>
      </c>
      <c r="C9" s="97" t="s">
        <v>11</v>
      </c>
      <c r="D9" s="209" t="s">
        <v>210</v>
      </c>
      <c r="E9" s="205">
        <v>707449260700.82495</v>
      </c>
    </row>
    <row r="10" spans="1:5" x14ac:dyDescent="0.25">
      <c r="A10" s="201" t="s">
        <v>207</v>
      </c>
      <c r="B10" s="219" t="s">
        <v>212</v>
      </c>
      <c r="C10" s="97" t="s">
        <v>11</v>
      </c>
      <c r="D10" s="209" t="s">
        <v>210</v>
      </c>
      <c r="E10" s="205">
        <v>492861844515.20593</v>
      </c>
    </row>
    <row r="11" spans="1:5" x14ac:dyDescent="0.25">
      <c r="A11" s="201" t="s">
        <v>207</v>
      </c>
      <c r="B11" s="219" t="s">
        <v>212</v>
      </c>
      <c r="C11" s="98" t="s">
        <v>43</v>
      </c>
      <c r="D11" s="209" t="s">
        <v>210</v>
      </c>
      <c r="E11" s="205">
        <v>202477370029.48514</v>
      </c>
    </row>
    <row r="12" spans="1:5" x14ac:dyDescent="0.25">
      <c r="A12" s="201" t="s">
        <v>207</v>
      </c>
      <c r="B12" s="219" t="s">
        <v>212</v>
      </c>
      <c r="C12" s="98" t="s">
        <v>43</v>
      </c>
      <c r="D12" s="209" t="s">
        <v>210</v>
      </c>
      <c r="E12" s="205">
        <v>225513995665.29694</v>
      </c>
    </row>
    <row r="13" spans="1:5" x14ac:dyDescent="0.25">
      <c r="A13" s="201" t="s">
        <v>207</v>
      </c>
      <c r="B13" s="219" t="s">
        <v>212</v>
      </c>
      <c r="C13" s="98" t="s">
        <v>43</v>
      </c>
      <c r="D13" s="209" t="s">
        <v>210</v>
      </c>
      <c r="E13" s="205">
        <v>66426222231.32531</v>
      </c>
    </row>
    <row r="14" spans="1:5" x14ac:dyDescent="0.25">
      <c r="A14" s="201" t="s">
        <v>207</v>
      </c>
      <c r="B14" s="219" t="s">
        <v>212</v>
      </c>
      <c r="C14" s="97" t="s">
        <v>11</v>
      </c>
      <c r="D14" s="209" t="s">
        <v>211</v>
      </c>
      <c r="E14" s="205">
        <v>963357304.98865485</v>
      </c>
    </row>
    <row r="15" spans="1:5" x14ac:dyDescent="0.25">
      <c r="A15" s="201" t="s">
        <v>207</v>
      </c>
      <c r="B15" s="219" t="s">
        <v>212</v>
      </c>
      <c r="C15" s="97" t="s">
        <v>11</v>
      </c>
      <c r="D15" s="209" t="s">
        <v>211</v>
      </c>
      <c r="E15" s="205">
        <v>1413992691.1397171</v>
      </c>
    </row>
    <row r="16" spans="1:5" x14ac:dyDescent="0.25">
      <c r="A16" s="201" t="s">
        <v>207</v>
      </c>
      <c r="B16" s="219" t="s">
        <v>212</v>
      </c>
      <c r="C16" s="97" t="s">
        <v>11</v>
      </c>
      <c r="D16" s="209" t="s">
        <v>211</v>
      </c>
      <c r="E16" s="205">
        <v>1572066084.2413516</v>
      </c>
    </row>
    <row r="17" spans="1:5" x14ac:dyDescent="0.25">
      <c r="A17" s="201" t="s">
        <v>207</v>
      </c>
      <c r="B17" s="219" t="s">
        <v>212</v>
      </c>
      <c r="C17" s="98" t="s">
        <v>43</v>
      </c>
      <c r="D17" s="209" t="s">
        <v>211</v>
      </c>
      <c r="E17" s="205">
        <v>37271274.513438597</v>
      </c>
    </row>
    <row r="18" spans="1:5" x14ac:dyDescent="0.25">
      <c r="A18" s="201" t="s">
        <v>207</v>
      </c>
      <c r="B18" s="219" t="s">
        <v>212</v>
      </c>
      <c r="C18" s="98" t="s">
        <v>43</v>
      </c>
      <c r="D18" s="209" t="s">
        <v>211</v>
      </c>
      <c r="E18" s="205">
        <v>114956651.20639017</v>
      </c>
    </row>
    <row r="19" spans="1:5" x14ac:dyDescent="0.25">
      <c r="A19" s="201" t="s">
        <v>207</v>
      </c>
      <c r="B19" s="219" t="s">
        <v>212</v>
      </c>
      <c r="C19" s="98" t="s">
        <v>43</v>
      </c>
      <c r="D19" s="209" t="s">
        <v>211</v>
      </c>
      <c r="E19" s="205">
        <v>420772011.0969547</v>
      </c>
    </row>
    <row r="20" spans="1:5" x14ac:dyDescent="0.25">
      <c r="A20" s="201" t="s">
        <v>83</v>
      </c>
      <c r="B20" s="219" t="s">
        <v>212</v>
      </c>
      <c r="C20" s="97" t="s">
        <v>11</v>
      </c>
      <c r="D20" s="209" t="s">
        <v>209</v>
      </c>
      <c r="E20" s="205">
        <v>5872013119.3615761</v>
      </c>
    </row>
    <row r="21" spans="1:5" x14ac:dyDescent="0.25">
      <c r="A21" s="201" t="s">
        <v>83</v>
      </c>
      <c r="B21" s="219" t="s">
        <v>212</v>
      </c>
      <c r="C21" s="97" t="s">
        <v>11</v>
      </c>
      <c r="D21" s="209" t="s">
        <v>209</v>
      </c>
      <c r="E21" s="205">
        <v>150049618816.12704</v>
      </c>
    </row>
    <row r="22" spans="1:5" x14ac:dyDescent="0.25">
      <c r="A22" s="201" t="s">
        <v>83</v>
      </c>
      <c r="B22" s="219" t="s">
        <v>212</v>
      </c>
      <c r="C22" s="97" t="s">
        <v>11</v>
      </c>
      <c r="D22" s="209" t="s">
        <v>209</v>
      </c>
      <c r="E22" s="205">
        <v>21652206824.512268</v>
      </c>
    </row>
    <row r="23" spans="1:5" x14ac:dyDescent="0.25">
      <c r="A23" s="201" t="s">
        <v>83</v>
      </c>
      <c r="B23" s="219" t="s">
        <v>212</v>
      </c>
      <c r="C23" s="98" t="s">
        <v>43</v>
      </c>
      <c r="D23" s="209" t="s">
        <v>209</v>
      </c>
      <c r="E23" s="205">
        <v>149142560.4265117</v>
      </c>
    </row>
    <row r="24" spans="1:5" x14ac:dyDescent="0.25">
      <c r="A24" s="201" t="s">
        <v>83</v>
      </c>
      <c r="B24" s="219" t="s">
        <v>212</v>
      </c>
      <c r="C24" s="98" t="s">
        <v>43</v>
      </c>
      <c r="D24" s="209" t="s">
        <v>209</v>
      </c>
      <c r="E24" s="205">
        <v>17197538875.227798</v>
      </c>
    </row>
    <row r="25" spans="1:5" x14ac:dyDescent="0.25">
      <c r="A25" s="201" t="s">
        <v>83</v>
      </c>
      <c r="B25" s="219" t="s">
        <v>212</v>
      </c>
      <c r="C25" s="98" t="s">
        <v>43</v>
      </c>
      <c r="D25" s="209" t="s">
        <v>209</v>
      </c>
      <c r="E25" s="205">
        <v>277782031.42840093</v>
      </c>
    </row>
    <row r="26" spans="1:5" x14ac:dyDescent="0.25">
      <c r="A26" s="201" t="s">
        <v>83</v>
      </c>
      <c r="B26" s="219" t="s">
        <v>212</v>
      </c>
      <c r="C26" s="97" t="s">
        <v>11</v>
      </c>
      <c r="D26" s="209" t="s">
        <v>210</v>
      </c>
      <c r="E26" s="205">
        <v>2714650054560.4727</v>
      </c>
    </row>
    <row r="27" spans="1:5" x14ac:dyDescent="0.25">
      <c r="A27" s="201" t="s">
        <v>83</v>
      </c>
      <c r="B27" s="219" t="s">
        <v>212</v>
      </c>
      <c r="C27" s="97" t="s">
        <v>11</v>
      </c>
      <c r="D27" s="209" t="s">
        <v>210</v>
      </c>
      <c r="E27" s="205">
        <v>6225858749806.8135</v>
      </c>
    </row>
    <row r="28" spans="1:5" x14ac:dyDescent="0.25">
      <c r="A28" s="201" t="s">
        <v>83</v>
      </c>
      <c r="B28" s="219" t="s">
        <v>212</v>
      </c>
      <c r="C28" s="97" t="s">
        <v>11</v>
      </c>
      <c r="D28" s="209" t="s">
        <v>210</v>
      </c>
      <c r="E28" s="205">
        <v>4032032220824.7104</v>
      </c>
    </row>
    <row r="29" spans="1:5" x14ac:dyDescent="0.25">
      <c r="A29" s="201" t="s">
        <v>83</v>
      </c>
      <c r="B29" s="219" t="s">
        <v>212</v>
      </c>
      <c r="C29" s="98" t="s">
        <v>43</v>
      </c>
      <c r="D29" s="209" t="s">
        <v>210</v>
      </c>
      <c r="E29" s="205">
        <v>821985315849.30981</v>
      </c>
    </row>
    <row r="30" spans="1:5" x14ac:dyDescent="0.25">
      <c r="A30" s="201" t="s">
        <v>83</v>
      </c>
      <c r="B30" s="219" t="s">
        <v>212</v>
      </c>
      <c r="C30" s="98" t="s">
        <v>43</v>
      </c>
      <c r="D30" s="209" t="s">
        <v>210</v>
      </c>
      <c r="E30" s="205">
        <v>348391740912.92279</v>
      </c>
    </row>
    <row r="31" spans="1:5" x14ac:dyDescent="0.25">
      <c r="A31" s="201" t="s">
        <v>83</v>
      </c>
      <c r="B31" s="219" t="s">
        <v>212</v>
      </c>
      <c r="C31" s="98" t="s">
        <v>43</v>
      </c>
      <c r="D31" s="209" t="s">
        <v>210</v>
      </c>
      <c r="E31" s="205">
        <v>581800610684.50635</v>
      </c>
    </row>
    <row r="32" spans="1:5" x14ac:dyDescent="0.25">
      <c r="A32" s="201" t="s">
        <v>83</v>
      </c>
      <c r="B32" s="219" t="s">
        <v>212</v>
      </c>
      <c r="C32" s="97" t="s">
        <v>11</v>
      </c>
      <c r="D32" s="209" t="s">
        <v>211</v>
      </c>
      <c r="E32" s="205">
        <v>3379142135.3919168</v>
      </c>
    </row>
    <row r="33" spans="1:5" x14ac:dyDescent="0.25">
      <c r="A33" s="201" t="s">
        <v>83</v>
      </c>
      <c r="B33" s="219" t="s">
        <v>212</v>
      </c>
      <c r="C33" s="97" t="s">
        <v>11</v>
      </c>
      <c r="D33" s="209" t="s">
        <v>211</v>
      </c>
      <c r="E33" s="205">
        <v>3013018102.1118193</v>
      </c>
    </row>
    <row r="34" spans="1:5" x14ac:dyDescent="0.25">
      <c r="A34" s="201" t="s">
        <v>83</v>
      </c>
      <c r="B34" s="219" t="s">
        <v>212</v>
      </c>
      <c r="C34" s="97" t="s">
        <v>11</v>
      </c>
      <c r="D34" s="209" t="s">
        <v>211</v>
      </c>
      <c r="E34" s="205">
        <v>5989269079.8817854</v>
      </c>
    </row>
    <row r="35" spans="1:5" x14ac:dyDescent="0.25">
      <c r="A35" s="201" t="s">
        <v>83</v>
      </c>
      <c r="B35" s="219" t="s">
        <v>212</v>
      </c>
      <c r="C35" s="98" t="s">
        <v>43</v>
      </c>
      <c r="D35" s="209" t="s">
        <v>211</v>
      </c>
      <c r="E35" s="205">
        <v>57373062.195208333</v>
      </c>
    </row>
    <row r="36" spans="1:5" x14ac:dyDescent="0.25">
      <c r="A36" s="201" t="s">
        <v>83</v>
      </c>
      <c r="B36" s="219" t="s">
        <v>212</v>
      </c>
      <c r="C36" s="98" t="s">
        <v>43</v>
      </c>
      <c r="D36" s="209" t="s">
        <v>211</v>
      </c>
      <c r="E36" s="205">
        <v>255448321.19933423</v>
      </c>
    </row>
    <row r="37" spans="1:5" x14ac:dyDescent="0.25">
      <c r="A37" s="201" t="s">
        <v>83</v>
      </c>
      <c r="B37" s="219" t="s">
        <v>212</v>
      </c>
      <c r="C37" s="98" t="s">
        <v>43</v>
      </c>
      <c r="D37" s="209" t="s">
        <v>211</v>
      </c>
      <c r="E37" s="205">
        <v>2327306336.5326581</v>
      </c>
    </row>
    <row r="38" spans="1:5" x14ac:dyDescent="0.25">
      <c r="A38" s="201" t="s">
        <v>91</v>
      </c>
      <c r="B38" s="219" t="s">
        <v>212</v>
      </c>
      <c r="C38" s="97" t="s">
        <v>11</v>
      </c>
      <c r="D38" s="209" t="s">
        <v>209</v>
      </c>
      <c r="E38" s="205">
        <v>10970171621.81547</v>
      </c>
    </row>
    <row r="39" spans="1:5" x14ac:dyDescent="0.25">
      <c r="A39" s="201" t="s">
        <v>91</v>
      </c>
      <c r="B39" s="219" t="s">
        <v>212</v>
      </c>
      <c r="C39" s="97" t="s">
        <v>11</v>
      </c>
      <c r="D39" s="209" t="s">
        <v>209</v>
      </c>
      <c r="E39" s="205">
        <v>336702555.1846379</v>
      </c>
    </row>
    <row r="40" spans="1:5" x14ac:dyDescent="0.25">
      <c r="A40" s="201" t="s">
        <v>91</v>
      </c>
      <c r="B40" s="219" t="s">
        <v>212</v>
      </c>
      <c r="C40" s="97" t="s">
        <v>11</v>
      </c>
      <c r="D40" s="209" t="s">
        <v>209</v>
      </c>
      <c r="E40" s="205">
        <v>1477825345.7895548</v>
      </c>
    </row>
    <row r="41" spans="1:5" x14ac:dyDescent="0.25">
      <c r="A41" s="201" t="s">
        <v>91</v>
      </c>
      <c r="B41" s="219" t="s">
        <v>212</v>
      </c>
      <c r="C41" s="98" t="s">
        <v>43</v>
      </c>
      <c r="D41" s="209" t="s">
        <v>209</v>
      </c>
      <c r="E41" s="205">
        <v>219070683915.81842</v>
      </c>
    </row>
    <row r="42" spans="1:5" x14ac:dyDescent="0.25">
      <c r="A42" s="201" t="s">
        <v>91</v>
      </c>
      <c r="B42" s="219" t="s">
        <v>212</v>
      </c>
      <c r="C42" s="98" t="s">
        <v>43</v>
      </c>
      <c r="D42" s="209" t="s">
        <v>209</v>
      </c>
      <c r="E42" s="205">
        <v>2009845507.6026804</v>
      </c>
    </row>
    <row r="43" spans="1:5" x14ac:dyDescent="0.25">
      <c r="A43" s="201" t="s">
        <v>91</v>
      </c>
      <c r="B43" s="219" t="s">
        <v>212</v>
      </c>
      <c r="C43" s="98" t="s">
        <v>43</v>
      </c>
      <c r="D43" s="209" t="s">
        <v>209</v>
      </c>
      <c r="E43" s="205">
        <v>63465639996.604187</v>
      </c>
    </row>
    <row r="44" spans="1:5" x14ac:dyDescent="0.25">
      <c r="A44" s="201" t="s">
        <v>91</v>
      </c>
      <c r="B44" s="219" t="s">
        <v>212</v>
      </c>
      <c r="C44" s="97" t="s">
        <v>11</v>
      </c>
      <c r="D44" s="209" t="s">
        <v>210</v>
      </c>
      <c r="E44" s="205">
        <v>29123944.357826807</v>
      </c>
    </row>
    <row r="45" spans="1:5" x14ac:dyDescent="0.25">
      <c r="A45" s="201" t="s">
        <v>91</v>
      </c>
      <c r="B45" s="219" t="s">
        <v>212</v>
      </c>
      <c r="C45" s="97" t="s">
        <v>11</v>
      </c>
      <c r="D45" s="209" t="s">
        <v>210</v>
      </c>
      <c r="E45" s="205">
        <v>19471396.906601258</v>
      </c>
    </row>
    <row r="46" spans="1:5" x14ac:dyDescent="0.25">
      <c r="A46" s="201" t="s">
        <v>91</v>
      </c>
      <c r="B46" s="219" t="s">
        <v>212</v>
      </c>
      <c r="C46" s="97" t="s">
        <v>11</v>
      </c>
      <c r="D46" s="209" t="s">
        <v>210</v>
      </c>
      <c r="E46" s="205">
        <v>27898277.49725724</v>
      </c>
    </row>
    <row r="47" spans="1:5" x14ac:dyDescent="0.25">
      <c r="A47" s="201" t="s">
        <v>91</v>
      </c>
      <c r="B47" s="219" t="s">
        <v>212</v>
      </c>
      <c r="C47" s="98" t="s">
        <v>43</v>
      </c>
      <c r="D47" s="209" t="s">
        <v>210</v>
      </c>
      <c r="E47" s="205">
        <v>139423762.05346608</v>
      </c>
    </row>
    <row r="48" spans="1:5" x14ac:dyDescent="0.25">
      <c r="A48" s="201" t="s">
        <v>91</v>
      </c>
      <c r="B48" s="219" t="s">
        <v>212</v>
      </c>
      <c r="C48" s="98" t="s">
        <v>43</v>
      </c>
      <c r="D48" s="209" t="s">
        <v>210</v>
      </c>
      <c r="E48" s="205">
        <v>277710354.74938631</v>
      </c>
    </row>
    <row r="49" spans="1:5" x14ac:dyDescent="0.25">
      <c r="A49" s="201" t="s">
        <v>91</v>
      </c>
      <c r="B49" s="219" t="s">
        <v>212</v>
      </c>
      <c r="C49" s="98" t="s">
        <v>43</v>
      </c>
      <c r="D49" s="209" t="s">
        <v>210</v>
      </c>
      <c r="E49" s="205">
        <v>115699883.59153335</v>
      </c>
    </row>
    <row r="50" spans="1:5" x14ac:dyDescent="0.25">
      <c r="A50" s="201" t="s">
        <v>91</v>
      </c>
      <c r="B50" s="219" t="s">
        <v>212</v>
      </c>
      <c r="C50" s="97" t="s">
        <v>11</v>
      </c>
      <c r="D50" s="209" t="s">
        <v>211</v>
      </c>
      <c r="E50" s="205">
        <v>22562324562.521751</v>
      </c>
    </row>
    <row r="51" spans="1:5" x14ac:dyDescent="0.25">
      <c r="A51" s="201" t="s">
        <v>91</v>
      </c>
      <c r="B51" s="219" t="s">
        <v>212</v>
      </c>
      <c r="C51" s="97" t="s">
        <v>11</v>
      </c>
      <c r="D51" s="209" t="s">
        <v>211</v>
      </c>
      <c r="E51" s="205">
        <v>12407044636.705084</v>
      </c>
    </row>
    <row r="52" spans="1:5" x14ac:dyDescent="0.25">
      <c r="A52" s="201" t="s">
        <v>91</v>
      </c>
      <c r="B52" s="219" t="s">
        <v>212</v>
      </c>
      <c r="C52" s="97" t="s">
        <v>11</v>
      </c>
      <c r="D52" s="209" t="s">
        <v>211</v>
      </c>
      <c r="E52" s="205">
        <v>6611568147.3460131</v>
      </c>
    </row>
    <row r="53" spans="1:5" x14ac:dyDescent="0.25">
      <c r="A53" s="201" t="s">
        <v>91</v>
      </c>
      <c r="B53" s="219" t="s">
        <v>212</v>
      </c>
      <c r="C53" s="98" t="s">
        <v>43</v>
      </c>
      <c r="D53" s="209" t="s">
        <v>211</v>
      </c>
      <c r="E53" s="205">
        <v>606779595393.51294</v>
      </c>
    </row>
    <row r="54" spans="1:5" x14ac:dyDescent="0.25">
      <c r="A54" s="201" t="s">
        <v>91</v>
      </c>
      <c r="B54" s="219" t="s">
        <v>212</v>
      </c>
      <c r="C54" s="98" t="s">
        <v>43</v>
      </c>
      <c r="D54" s="209" t="s">
        <v>211</v>
      </c>
      <c r="E54" s="205">
        <v>379013344221.89526</v>
      </c>
    </row>
    <row r="55" spans="1:5" x14ac:dyDescent="0.25">
      <c r="A55" s="201" t="s">
        <v>91</v>
      </c>
      <c r="B55" s="219" t="s">
        <v>212</v>
      </c>
      <c r="C55" s="98" t="s">
        <v>43</v>
      </c>
      <c r="D55" s="209" t="s">
        <v>211</v>
      </c>
      <c r="E55" s="205">
        <v>17188509267.139145</v>
      </c>
    </row>
    <row r="56" spans="1:5" x14ac:dyDescent="0.25">
      <c r="A56" s="201" t="s">
        <v>149</v>
      </c>
      <c r="B56" s="219" t="s">
        <v>212</v>
      </c>
      <c r="C56" s="97" t="s">
        <v>11</v>
      </c>
      <c r="D56" s="209" t="s">
        <v>209</v>
      </c>
      <c r="E56" s="205">
        <v>49647411862.800102</v>
      </c>
    </row>
    <row r="57" spans="1:5" x14ac:dyDescent="0.25">
      <c r="A57" s="201" t="s">
        <v>149</v>
      </c>
      <c r="B57" s="219" t="s">
        <v>212</v>
      </c>
      <c r="C57" s="97" t="s">
        <v>11</v>
      </c>
      <c r="D57" s="209" t="s">
        <v>209</v>
      </c>
      <c r="E57" s="205">
        <v>242182724849.61139</v>
      </c>
    </row>
    <row r="58" spans="1:5" x14ac:dyDescent="0.25">
      <c r="A58" s="201" t="s">
        <v>149</v>
      </c>
      <c r="B58" s="219" t="s">
        <v>212</v>
      </c>
      <c r="C58" s="97" t="s">
        <v>11</v>
      </c>
      <c r="D58" s="209" t="s">
        <v>209</v>
      </c>
      <c r="E58" s="205">
        <v>15750599147.997387</v>
      </c>
    </row>
    <row r="59" spans="1:5" x14ac:dyDescent="0.25">
      <c r="A59" s="201" t="s">
        <v>149</v>
      </c>
      <c r="B59" s="219" t="s">
        <v>212</v>
      </c>
      <c r="C59" s="98" t="s">
        <v>43</v>
      </c>
      <c r="D59" s="209" t="s">
        <v>209</v>
      </c>
      <c r="E59" s="205">
        <v>14100313403.819164</v>
      </c>
    </row>
    <row r="60" spans="1:5" x14ac:dyDescent="0.25">
      <c r="A60" s="201" t="s">
        <v>149</v>
      </c>
      <c r="B60" s="219" t="s">
        <v>212</v>
      </c>
      <c r="C60" s="98" t="s">
        <v>43</v>
      </c>
      <c r="D60" s="209" t="s">
        <v>209</v>
      </c>
      <c r="E60" s="205">
        <v>4885543239.9634933</v>
      </c>
    </row>
    <row r="61" spans="1:5" x14ac:dyDescent="0.25">
      <c r="A61" s="201" t="s">
        <v>149</v>
      </c>
      <c r="B61" s="219" t="s">
        <v>212</v>
      </c>
      <c r="C61" s="98" t="s">
        <v>43</v>
      </c>
      <c r="D61" s="209" t="s">
        <v>209</v>
      </c>
      <c r="E61" s="205">
        <v>29955809581.131618</v>
      </c>
    </row>
    <row r="62" spans="1:5" x14ac:dyDescent="0.25">
      <c r="A62" s="201" t="s">
        <v>149</v>
      </c>
      <c r="B62" s="219" t="s">
        <v>212</v>
      </c>
      <c r="C62" s="97" t="s">
        <v>11</v>
      </c>
      <c r="D62" s="209" t="s">
        <v>210</v>
      </c>
      <c r="E62" s="205">
        <v>397418828968.07141</v>
      </c>
    </row>
    <row r="63" spans="1:5" x14ac:dyDescent="0.25">
      <c r="A63" s="201" t="s">
        <v>149</v>
      </c>
      <c r="B63" s="219" t="s">
        <v>212</v>
      </c>
      <c r="C63" s="97" t="s">
        <v>11</v>
      </c>
      <c r="D63" s="209" t="s">
        <v>210</v>
      </c>
      <c r="E63" s="205">
        <v>618207606863.85278</v>
      </c>
    </row>
    <row r="64" spans="1:5" x14ac:dyDescent="0.25">
      <c r="A64" s="201" t="s">
        <v>149</v>
      </c>
      <c r="B64" s="219" t="s">
        <v>212</v>
      </c>
      <c r="C64" s="97" t="s">
        <v>11</v>
      </c>
      <c r="D64" s="209" t="s">
        <v>210</v>
      </c>
      <c r="E64" s="205">
        <v>670787822451.19434</v>
      </c>
    </row>
    <row r="65" spans="1:5" x14ac:dyDescent="0.25">
      <c r="A65" s="201" t="s">
        <v>149</v>
      </c>
      <c r="B65" s="219" t="s">
        <v>212</v>
      </c>
      <c r="C65" s="98" t="s">
        <v>43</v>
      </c>
      <c r="D65" s="209" t="s">
        <v>210</v>
      </c>
      <c r="E65" s="205">
        <v>208386276732.41711</v>
      </c>
    </row>
    <row r="66" spans="1:5" x14ac:dyDescent="0.25">
      <c r="A66" s="201" t="s">
        <v>149</v>
      </c>
      <c r="B66" s="219" t="s">
        <v>212</v>
      </c>
      <c r="C66" s="98" t="s">
        <v>43</v>
      </c>
      <c r="D66" s="209" t="s">
        <v>210</v>
      </c>
      <c r="E66" s="205">
        <v>158574047113.27917</v>
      </c>
    </row>
    <row r="67" spans="1:5" x14ac:dyDescent="0.25">
      <c r="A67" s="201" t="s">
        <v>149</v>
      </c>
      <c r="B67" s="219" t="s">
        <v>212</v>
      </c>
      <c r="C67" s="98" t="s">
        <v>43</v>
      </c>
      <c r="D67" s="209" t="s">
        <v>210</v>
      </c>
      <c r="E67" s="205">
        <v>557331266932.81299</v>
      </c>
    </row>
    <row r="68" spans="1:5" x14ac:dyDescent="0.25">
      <c r="A68" s="201" t="s">
        <v>149</v>
      </c>
      <c r="B68" s="219" t="s">
        <v>212</v>
      </c>
      <c r="C68" s="97" t="s">
        <v>11</v>
      </c>
      <c r="D68" s="209" t="s">
        <v>211</v>
      </c>
      <c r="E68" s="205">
        <v>1788199799.7892258</v>
      </c>
    </row>
    <row r="69" spans="1:5" x14ac:dyDescent="0.25">
      <c r="A69" s="201" t="s">
        <v>149</v>
      </c>
      <c r="B69" s="219" t="s">
        <v>212</v>
      </c>
      <c r="C69" s="97" t="s">
        <v>11</v>
      </c>
      <c r="D69" s="209" t="s">
        <v>211</v>
      </c>
      <c r="E69" s="205">
        <v>1938127455.9228582</v>
      </c>
    </row>
    <row r="70" spans="1:5" x14ac:dyDescent="0.25">
      <c r="A70" s="201" t="s">
        <v>149</v>
      </c>
      <c r="B70" s="219" t="s">
        <v>212</v>
      </c>
      <c r="C70" s="97" t="s">
        <v>11</v>
      </c>
      <c r="D70" s="209" t="s">
        <v>211</v>
      </c>
      <c r="E70" s="205">
        <v>1074222594.699106</v>
      </c>
    </row>
    <row r="71" spans="1:5" x14ac:dyDescent="0.25">
      <c r="A71" s="201" t="s">
        <v>149</v>
      </c>
      <c r="B71" s="219" t="s">
        <v>212</v>
      </c>
      <c r="C71" s="98" t="s">
        <v>43</v>
      </c>
      <c r="D71" s="209" t="s">
        <v>211</v>
      </c>
      <c r="E71" s="205">
        <v>41582648.826183893</v>
      </c>
    </row>
    <row r="72" spans="1:5" x14ac:dyDescent="0.25">
      <c r="A72" s="201" t="s">
        <v>149</v>
      </c>
      <c r="B72" s="219" t="s">
        <v>212</v>
      </c>
      <c r="C72" s="98" t="s">
        <v>43</v>
      </c>
      <c r="D72" s="209" t="s">
        <v>211</v>
      </c>
      <c r="E72" s="205">
        <v>582269579.74230123</v>
      </c>
    </row>
    <row r="73" spans="1:5" x14ac:dyDescent="0.25">
      <c r="A73" s="201" t="s">
        <v>149</v>
      </c>
      <c r="B73" s="219" t="s">
        <v>212</v>
      </c>
      <c r="C73" s="98" t="s">
        <v>43</v>
      </c>
      <c r="D73" s="209" t="s">
        <v>211</v>
      </c>
      <c r="E73" s="205">
        <v>2053646564.6636078</v>
      </c>
    </row>
    <row r="74" spans="1:5" x14ac:dyDescent="0.25">
      <c r="A74" s="201" t="s">
        <v>214</v>
      </c>
      <c r="B74" s="219" t="s">
        <v>212</v>
      </c>
      <c r="C74" s="97" t="s">
        <v>11</v>
      </c>
      <c r="D74" s="209" t="s">
        <v>209</v>
      </c>
      <c r="E74" s="205">
        <v>26153818491.553223</v>
      </c>
    </row>
    <row r="75" spans="1:5" x14ac:dyDescent="0.25">
      <c r="A75" s="201" t="s">
        <v>214</v>
      </c>
      <c r="B75" s="219" t="s">
        <v>212</v>
      </c>
      <c r="C75" s="97" t="s">
        <v>11</v>
      </c>
      <c r="D75" s="209" t="s">
        <v>209</v>
      </c>
      <c r="E75" s="205">
        <v>528858737146.32446</v>
      </c>
    </row>
    <row r="76" spans="1:5" x14ac:dyDescent="0.25">
      <c r="A76" s="201" t="s">
        <v>214</v>
      </c>
      <c r="B76" s="219" t="s">
        <v>212</v>
      </c>
      <c r="C76" s="97" t="s">
        <v>11</v>
      </c>
      <c r="D76" s="209" t="s">
        <v>209</v>
      </c>
      <c r="E76" s="205">
        <v>55219810983.273643</v>
      </c>
    </row>
    <row r="77" spans="1:5" x14ac:dyDescent="0.25">
      <c r="A77" s="201" t="s">
        <v>214</v>
      </c>
      <c r="B77" s="219" t="s">
        <v>212</v>
      </c>
      <c r="C77" s="98" t="s">
        <v>43</v>
      </c>
      <c r="D77" s="209" t="s">
        <v>209</v>
      </c>
      <c r="E77" s="205">
        <v>945863489.54133821</v>
      </c>
    </row>
    <row r="78" spans="1:5" x14ac:dyDescent="0.25">
      <c r="A78" s="201" t="s">
        <v>214</v>
      </c>
      <c r="B78" s="219" t="s">
        <v>212</v>
      </c>
      <c r="C78" s="98" t="s">
        <v>43</v>
      </c>
      <c r="D78" s="209" t="s">
        <v>209</v>
      </c>
      <c r="E78" s="205">
        <v>17814961712.874332</v>
      </c>
    </row>
    <row r="79" spans="1:5" x14ac:dyDescent="0.25">
      <c r="A79" s="201" t="s">
        <v>214</v>
      </c>
      <c r="B79" s="219" t="s">
        <v>212</v>
      </c>
      <c r="C79" s="98" t="s">
        <v>43</v>
      </c>
      <c r="D79" s="209" t="s">
        <v>209</v>
      </c>
      <c r="E79" s="205">
        <v>6435614059.7873821</v>
      </c>
    </row>
    <row r="80" spans="1:5" x14ac:dyDescent="0.25">
      <c r="A80" s="201" t="s">
        <v>214</v>
      </c>
      <c r="B80" s="219" t="s">
        <v>212</v>
      </c>
      <c r="C80" s="97" t="s">
        <v>11</v>
      </c>
      <c r="D80" s="209" t="s">
        <v>210</v>
      </c>
      <c r="E80" s="205">
        <v>701246398106.69995</v>
      </c>
    </row>
    <row r="81" spans="1:5" x14ac:dyDescent="0.25">
      <c r="A81" s="201" t="s">
        <v>214</v>
      </c>
      <c r="B81" s="219" t="s">
        <v>212</v>
      </c>
      <c r="C81" s="97" t="s">
        <v>11</v>
      </c>
      <c r="D81" s="209" t="s">
        <v>210</v>
      </c>
      <c r="E81" s="205">
        <v>930106918296.39417</v>
      </c>
    </row>
    <row r="82" spans="1:5" x14ac:dyDescent="0.25">
      <c r="A82" s="201" t="s">
        <v>214</v>
      </c>
      <c r="B82" s="219" t="s">
        <v>212</v>
      </c>
      <c r="C82" s="97" t="s">
        <v>11</v>
      </c>
      <c r="D82" s="209" t="s">
        <v>210</v>
      </c>
      <c r="E82" s="205">
        <v>802840593809.45422</v>
      </c>
    </row>
    <row r="83" spans="1:5" x14ac:dyDescent="0.25">
      <c r="A83" s="201" t="s">
        <v>214</v>
      </c>
      <c r="B83" s="219" t="s">
        <v>212</v>
      </c>
      <c r="C83" s="98" t="s">
        <v>43</v>
      </c>
      <c r="D83" s="209" t="s">
        <v>210</v>
      </c>
      <c r="E83" s="205">
        <v>95036213617.792847</v>
      </c>
    </row>
    <row r="84" spans="1:5" x14ac:dyDescent="0.25">
      <c r="A84" s="201" t="s">
        <v>214</v>
      </c>
      <c r="B84" s="219" t="s">
        <v>212</v>
      </c>
      <c r="C84" s="98" t="s">
        <v>43</v>
      </c>
      <c r="D84" s="209" t="s">
        <v>210</v>
      </c>
      <c r="E84" s="205">
        <v>72068569768.801117</v>
      </c>
    </row>
    <row r="85" spans="1:5" x14ac:dyDescent="0.25">
      <c r="A85" s="201" t="s">
        <v>214</v>
      </c>
      <c r="B85" s="219" t="s">
        <v>212</v>
      </c>
      <c r="C85" s="98" t="s">
        <v>43</v>
      </c>
      <c r="D85" s="209" t="s">
        <v>210</v>
      </c>
      <c r="E85" s="205">
        <v>196330474380.70325</v>
      </c>
    </row>
    <row r="86" spans="1:5" x14ac:dyDescent="0.25">
      <c r="A86" s="201" t="s">
        <v>214</v>
      </c>
      <c r="B86" s="219" t="s">
        <v>212</v>
      </c>
      <c r="C86" s="97" t="s">
        <v>11</v>
      </c>
      <c r="D86" s="209" t="s">
        <v>211</v>
      </c>
      <c r="E86" s="205">
        <v>30784899984.065605</v>
      </c>
    </row>
    <row r="87" spans="1:5" x14ac:dyDescent="0.25">
      <c r="A87" s="201" t="s">
        <v>214</v>
      </c>
      <c r="B87" s="219" t="s">
        <v>212</v>
      </c>
      <c r="C87" s="97" t="s">
        <v>11</v>
      </c>
      <c r="D87" s="209" t="s">
        <v>211</v>
      </c>
      <c r="E87" s="205">
        <v>12799164391.999931</v>
      </c>
    </row>
    <row r="88" spans="1:5" x14ac:dyDescent="0.25">
      <c r="A88" s="201" t="s">
        <v>214</v>
      </c>
      <c r="B88" s="219" t="s">
        <v>212</v>
      </c>
      <c r="C88" s="97" t="s">
        <v>11</v>
      </c>
      <c r="D88" s="209" t="s">
        <v>211</v>
      </c>
      <c r="E88" s="205">
        <v>15002955539.911449</v>
      </c>
    </row>
    <row r="89" spans="1:5" x14ac:dyDescent="0.25">
      <c r="A89" s="201" t="s">
        <v>214</v>
      </c>
      <c r="B89" s="219" t="s">
        <v>212</v>
      </c>
      <c r="C89" s="98" t="s">
        <v>43</v>
      </c>
      <c r="D89" s="209" t="s">
        <v>211</v>
      </c>
      <c r="E89" s="205">
        <v>114290368.59122522</v>
      </c>
    </row>
    <row r="90" spans="1:5" x14ac:dyDescent="0.25">
      <c r="A90" s="201" t="s">
        <v>214</v>
      </c>
      <c r="B90" s="219" t="s">
        <v>212</v>
      </c>
      <c r="C90" s="98" t="s">
        <v>43</v>
      </c>
      <c r="D90" s="209" t="s">
        <v>211</v>
      </c>
      <c r="E90" s="205">
        <v>1613097809.8433526</v>
      </c>
    </row>
    <row r="91" spans="1:5" x14ac:dyDescent="0.25">
      <c r="A91" s="201" t="s">
        <v>214</v>
      </c>
      <c r="B91" s="219" t="s">
        <v>212</v>
      </c>
      <c r="C91" s="98" t="s">
        <v>43</v>
      </c>
      <c r="D91" s="209" t="s">
        <v>211</v>
      </c>
      <c r="E91" s="205">
        <v>7037987086.3477917</v>
      </c>
    </row>
    <row r="92" spans="1:5" x14ac:dyDescent="0.25">
      <c r="A92" s="201" t="s">
        <v>95</v>
      </c>
      <c r="B92" s="219" t="s">
        <v>212</v>
      </c>
      <c r="C92" s="97" t="s">
        <v>11</v>
      </c>
      <c r="D92" s="209" t="s">
        <v>209</v>
      </c>
      <c r="E92" s="205">
        <v>12308146556.441687</v>
      </c>
    </row>
    <row r="93" spans="1:5" x14ac:dyDescent="0.25">
      <c r="A93" s="201" t="s">
        <v>95</v>
      </c>
      <c r="B93" s="219" t="s">
        <v>212</v>
      </c>
      <c r="C93" s="97" t="s">
        <v>11</v>
      </c>
      <c r="D93" s="209" t="s">
        <v>209</v>
      </c>
      <c r="E93" s="205">
        <v>425040700556.99823</v>
      </c>
    </row>
    <row r="94" spans="1:5" x14ac:dyDescent="0.25">
      <c r="A94" s="201" t="s">
        <v>95</v>
      </c>
      <c r="B94" s="219" t="s">
        <v>212</v>
      </c>
      <c r="C94" s="97" t="s">
        <v>11</v>
      </c>
      <c r="D94" s="209" t="s">
        <v>209</v>
      </c>
      <c r="E94" s="205">
        <v>23250685021.995354</v>
      </c>
    </row>
    <row r="95" spans="1:5" x14ac:dyDescent="0.25">
      <c r="A95" s="201" t="s">
        <v>95</v>
      </c>
      <c r="B95" s="219" t="s">
        <v>212</v>
      </c>
      <c r="C95" s="98" t="s">
        <v>43</v>
      </c>
      <c r="D95" s="209" t="s">
        <v>209</v>
      </c>
      <c r="E95" s="205">
        <v>373516295.21003366</v>
      </c>
    </row>
    <row r="96" spans="1:5" x14ac:dyDescent="0.25">
      <c r="A96" s="201" t="s">
        <v>95</v>
      </c>
      <c r="B96" s="219" t="s">
        <v>212</v>
      </c>
      <c r="C96" s="98" t="s">
        <v>43</v>
      </c>
      <c r="D96" s="209" t="s">
        <v>209</v>
      </c>
      <c r="E96" s="205">
        <v>30391254993.01247</v>
      </c>
    </row>
    <row r="97" spans="1:5" x14ac:dyDescent="0.25">
      <c r="A97" s="201" t="s">
        <v>95</v>
      </c>
      <c r="B97" s="219" t="s">
        <v>212</v>
      </c>
      <c r="C97" s="98" t="s">
        <v>43</v>
      </c>
      <c r="D97" s="209" t="s">
        <v>209</v>
      </c>
      <c r="E97" s="205">
        <v>851082507.38881814</v>
      </c>
    </row>
    <row r="98" spans="1:5" x14ac:dyDescent="0.25">
      <c r="A98" s="201" t="s">
        <v>95</v>
      </c>
      <c r="B98" s="219" t="s">
        <v>212</v>
      </c>
      <c r="C98" s="97" t="s">
        <v>11</v>
      </c>
      <c r="D98" s="209" t="s">
        <v>210</v>
      </c>
      <c r="E98" s="205">
        <v>1160389592316.7415</v>
      </c>
    </row>
    <row r="99" spans="1:5" x14ac:dyDescent="0.25">
      <c r="A99" s="201" t="s">
        <v>95</v>
      </c>
      <c r="B99" s="219" t="s">
        <v>212</v>
      </c>
      <c r="C99" s="97" t="s">
        <v>11</v>
      </c>
      <c r="D99" s="209" t="s">
        <v>210</v>
      </c>
      <c r="E99" s="205">
        <v>1643654643686.0425</v>
      </c>
    </row>
    <row r="100" spans="1:5" x14ac:dyDescent="0.25">
      <c r="A100" s="201" t="s">
        <v>95</v>
      </c>
      <c r="B100" s="219" t="s">
        <v>212</v>
      </c>
      <c r="C100" s="97" t="s">
        <v>11</v>
      </c>
      <c r="D100" s="209" t="s">
        <v>210</v>
      </c>
      <c r="E100" s="205">
        <v>1160389592316.7415</v>
      </c>
    </row>
    <row r="101" spans="1:5" x14ac:dyDescent="0.25">
      <c r="A101" s="201" t="s">
        <v>95</v>
      </c>
      <c r="B101" s="219" t="s">
        <v>212</v>
      </c>
      <c r="C101" s="98" t="s">
        <v>43</v>
      </c>
      <c r="D101" s="209" t="s">
        <v>210</v>
      </c>
      <c r="E101" s="205">
        <v>84088689606.692825</v>
      </c>
    </row>
    <row r="102" spans="1:5" x14ac:dyDescent="0.25">
      <c r="A102" s="201" t="s">
        <v>95</v>
      </c>
      <c r="B102" s="219" t="s">
        <v>212</v>
      </c>
      <c r="C102" s="98" t="s">
        <v>43</v>
      </c>
      <c r="D102" s="209" t="s">
        <v>210</v>
      </c>
      <c r="E102" s="205">
        <v>77596783630.925751</v>
      </c>
    </row>
    <row r="103" spans="1:5" x14ac:dyDescent="0.25">
      <c r="A103" s="201" t="s">
        <v>95</v>
      </c>
      <c r="B103" s="219" t="s">
        <v>212</v>
      </c>
      <c r="C103" s="98" t="s">
        <v>43</v>
      </c>
      <c r="D103" s="209" t="s">
        <v>210</v>
      </c>
      <c r="E103" s="205">
        <v>137090889317.03535</v>
      </c>
    </row>
    <row r="104" spans="1:5" x14ac:dyDescent="0.25">
      <c r="A104" s="201" t="s">
        <v>95</v>
      </c>
      <c r="B104" s="219" t="s">
        <v>212</v>
      </c>
      <c r="C104" s="97" t="s">
        <v>11</v>
      </c>
      <c r="D104" s="209" t="s">
        <v>211</v>
      </c>
      <c r="E104" s="205">
        <v>4359937287.130682</v>
      </c>
    </row>
    <row r="105" spans="1:5" x14ac:dyDescent="0.25">
      <c r="A105" s="201" t="s">
        <v>95</v>
      </c>
      <c r="B105" s="219" t="s">
        <v>212</v>
      </c>
      <c r="C105" s="97" t="s">
        <v>11</v>
      </c>
      <c r="D105" s="209" t="s">
        <v>211</v>
      </c>
      <c r="E105" s="205">
        <v>6258966581.0259066</v>
      </c>
    </row>
    <row r="106" spans="1:5" x14ac:dyDescent="0.25">
      <c r="A106" s="201" t="s">
        <v>95</v>
      </c>
      <c r="B106" s="219" t="s">
        <v>212</v>
      </c>
      <c r="C106" s="97" t="s">
        <v>11</v>
      </c>
      <c r="D106" s="209" t="s">
        <v>211</v>
      </c>
      <c r="E106" s="205">
        <v>4418713935.546217</v>
      </c>
    </row>
    <row r="107" spans="1:5" x14ac:dyDescent="0.25">
      <c r="A107" s="201" t="s">
        <v>95</v>
      </c>
      <c r="B107" s="219" t="s">
        <v>212</v>
      </c>
      <c r="C107" s="98" t="s">
        <v>43</v>
      </c>
      <c r="D107" s="209" t="s">
        <v>211</v>
      </c>
      <c r="E107" s="205">
        <v>143380800.72183245</v>
      </c>
    </row>
    <row r="108" spans="1:5" x14ac:dyDescent="0.25">
      <c r="A108" s="201" t="s">
        <v>95</v>
      </c>
      <c r="B108" s="219" t="s">
        <v>212</v>
      </c>
      <c r="C108" s="98" t="s">
        <v>43</v>
      </c>
      <c r="D108" s="209" t="s">
        <v>211</v>
      </c>
      <c r="E108" s="205">
        <v>356414036.24717748</v>
      </c>
    </row>
    <row r="109" spans="1:5" x14ac:dyDescent="0.25">
      <c r="A109" s="201" t="s">
        <v>95</v>
      </c>
      <c r="B109" s="219" t="s">
        <v>212</v>
      </c>
      <c r="C109" s="98" t="s">
        <v>43</v>
      </c>
      <c r="D109" s="209" t="s">
        <v>211</v>
      </c>
      <c r="E109" s="205">
        <v>1341848741.5052595</v>
      </c>
    </row>
    <row r="110" spans="1:5" x14ac:dyDescent="0.25">
      <c r="A110" s="201" t="s">
        <v>97</v>
      </c>
      <c r="B110" s="219" t="s">
        <v>212</v>
      </c>
      <c r="C110" s="97" t="s">
        <v>11</v>
      </c>
      <c r="D110" s="209" t="s">
        <v>209</v>
      </c>
      <c r="E110" s="205">
        <v>10822835717.8407</v>
      </c>
    </row>
    <row r="111" spans="1:5" x14ac:dyDescent="0.25">
      <c r="A111" s="201" t="s">
        <v>97</v>
      </c>
      <c r="B111" s="219" t="s">
        <v>212</v>
      </c>
      <c r="C111" s="97" t="s">
        <v>11</v>
      </c>
      <c r="D111" s="209" t="s">
        <v>209</v>
      </c>
      <c r="E111" s="205">
        <v>10524945462.797331</v>
      </c>
    </row>
    <row r="112" spans="1:5" x14ac:dyDescent="0.25">
      <c r="A112" s="201" t="s">
        <v>97</v>
      </c>
      <c r="B112" s="219" t="s">
        <v>212</v>
      </c>
      <c r="C112" s="97" t="s">
        <v>11</v>
      </c>
      <c r="D112" s="209" t="s">
        <v>209</v>
      </c>
      <c r="E112" s="205">
        <v>11279649680.87355</v>
      </c>
    </row>
    <row r="113" spans="1:5" x14ac:dyDescent="0.25">
      <c r="A113" s="201" t="s">
        <v>97</v>
      </c>
      <c r="B113" s="219" t="s">
        <v>212</v>
      </c>
      <c r="C113" s="98" t="s">
        <v>43</v>
      </c>
      <c r="D113" s="209" t="s">
        <v>209</v>
      </c>
      <c r="E113" s="205">
        <v>10783261995.096354</v>
      </c>
    </row>
    <row r="114" spans="1:5" x14ac:dyDescent="0.25">
      <c r="A114" s="201" t="s">
        <v>97</v>
      </c>
      <c r="B114" s="219" t="s">
        <v>212</v>
      </c>
      <c r="C114" s="98" t="s">
        <v>43</v>
      </c>
      <c r="D114" s="209" t="s">
        <v>209</v>
      </c>
      <c r="E114" s="205">
        <v>11175847325.125002</v>
      </c>
    </row>
    <row r="115" spans="1:5" x14ac:dyDescent="0.25">
      <c r="A115" s="201" t="s">
        <v>97</v>
      </c>
      <c r="B115" s="219" t="s">
        <v>212</v>
      </c>
      <c r="C115" s="98" t="s">
        <v>43</v>
      </c>
      <c r="D115" s="209" t="s">
        <v>209</v>
      </c>
      <c r="E115" s="205">
        <v>10749456851.895689</v>
      </c>
    </row>
    <row r="116" spans="1:5" x14ac:dyDescent="0.25">
      <c r="A116" s="201" t="s">
        <v>97</v>
      </c>
      <c r="B116" s="219" t="s">
        <v>212</v>
      </c>
      <c r="C116" s="97" t="s">
        <v>11</v>
      </c>
      <c r="D116" s="209" t="s">
        <v>210</v>
      </c>
      <c r="E116" s="205">
        <v>10633826033.474199</v>
      </c>
    </row>
    <row r="117" spans="1:5" x14ac:dyDescent="0.25">
      <c r="A117" s="201" t="s">
        <v>97</v>
      </c>
      <c r="B117" s="219" t="s">
        <v>212</v>
      </c>
      <c r="C117" s="97" t="s">
        <v>11</v>
      </c>
      <c r="D117" s="209" t="s">
        <v>210</v>
      </c>
      <c r="E117" s="205">
        <v>10462707798.407522</v>
      </c>
    </row>
    <row r="118" spans="1:5" x14ac:dyDescent="0.25">
      <c r="A118" s="201" t="s">
        <v>97</v>
      </c>
      <c r="B118" s="219" t="s">
        <v>212</v>
      </c>
      <c r="C118" s="97" t="s">
        <v>11</v>
      </c>
      <c r="D118" s="209" t="s">
        <v>210</v>
      </c>
      <c r="E118" s="205">
        <v>10594943425.058865</v>
      </c>
    </row>
    <row r="119" spans="1:5" x14ac:dyDescent="0.25">
      <c r="A119" s="201" t="s">
        <v>97</v>
      </c>
      <c r="B119" s="219" t="s">
        <v>212</v>
      </c>
      <c r="C119" s="98" t="s">
        <v>43</v>
      </c>
      <c r="D119" s="209" t="s">
        <v>210</v>
      </c>
      <c r="E119" s="205">
        <v>10574633118.21822</v>
      </c>
    </row>
    <row r="120" spans="1:5" x14ac:dyDescent="0.25">
      <c r="A120" s="201" t="s">
        <v>97</v>
      </c>
      <c r="B120" s="219" t="s">
        <v>212</v>
      </c>
      <c r="C120" s="98" t="s">
        <v>43</v>
      </c>
      <c r="D120" s="209" t="s">
        <v>210</v>
      </c>
      <c r="E120" s="205">
        <v>10600489366.703419</v>
      </c>
    </row>
    <row r="121" spans="1:5" x14ac:dyDescent="0.25">
      <c r="A121" s="201" t="s">
        <v>97</v>
      </c>
      <c r="B121" s="219" t="s">
        <v>212</v>
      </c>
      <c r="C121" s="98" t="s">
        <v>43</v>
      </c>
      <c r="D121" s="209" t="s">
        <v>210</v>
      </c>
      <c r="E121" s="205">
        <v>10448117208.671288</v>
      </c>
    </row>
    <row r="122" spans="1:5" x14ac:dyDescent="0.25">
      <c r="A122" s="201" t="s">
        <v>97</v>
      </c>
      <c r="B122" s="219" t="s">
        <v>212</v>
      </c>
      <c r="C122" s="97" t="s">
        <v>11</v>
      </c>
      <c r="D122" s="209" t="s">
        <v>211</v>
      </c>
      <c r="E122" s="205">
        <v>11739351231.782309</v>
      </c>
    </row>
    <row r="123" spans="1:5" x14ac:dyDescent="0.25">
      <c r="A123" s="201" t="s">
        <v>97</v>
      </c>
      <c r="B123" s="219" t="s">
        <v>212</v>
      </c>
      <c r="C123" s="97" t="s">
        <v>11</v>
      </c>
      <c r="D123" s="209" t="s">
        <v>211</v>
      </c>
      <c r="E123" s="205">
        <v>11835993080.970728</v>
      </c>
    </row>
    <row r="124" spans="1:5" x14ac:dyDescent="0.25">
      <c r="A124" s="201" t="s">
        <v>97</v>
      </c>
      <c r="B124" s="219" t="s">
        <v>212</v>
      </c>
      <c r="C124" s="97" t="s">
        <v>11</v>
      </c>
      <c r="D124" s="209" t="s">
        <v>211</v>
      </c>
      <c r="E124" s="205">
        <v>11798887663.22179</v>
      </c>
    </row>
    <row r="125" spans="1:5" x14ac:dyDescent="0.25">
      <c r="A125" s="201" t="s">
        <v>97</v>
      </c>
      <c r="B125" s="219" t="s">
        <v>212</v>
      </c>
      <c r="C125" s="98" t="s">
        <v>43</v>
      </c>
      <c r="D125" s="209" t="s">
        <v>211</v>
      </c>
      <c r="E125" s="205">
        <v>12583330738.874144</v>
      </c>
    </row>
    <row r="126" spans="1:5" x14ac:dyDescent="0.25">
      <c r="A126" s="201" t="s">
        <v>97</v>
      </c>
      <c r="B126" s="219" t="s">
        <v>212</v>
      </c>
      <c r="C126" s="98" t="s">
        <v>43</v>
      </c>
      <c r="D126" s="209" t="s">
        <v>211</v>
      </c>
      <c r="E126" s="205">
        <v>11582725476.882711</v>
      </c>
    </row>
    <row r="127" spans="1:5" x14ac:dyDescent="0.25">
      <c r="A127" s="201" t="s">
        <v>97</v>
      </c>
      <c r="B127" s="219" t="s">
        <v>212</v>
      </c>
      <c r="C127" s="98" t="s">
        <v>43</v>
      </c>
      <c r="D127" s="209" t="s">
        <v>211</v>
      </c>
      <c r="E127" s="205">
        <v>11598900524.700935</v>
      </c>
    </row>
    <row r="128" spans="1:5" x14ac:dyDescent="0.25">
      <c r="A128" s="201" t="s">
        <v>99</v>
      </c>
      <c r="B128" s="219" t="s">
        <v>212</v>
      </c>
      <c r="C128" s="97" t="s">
        <v>11</v>
      </c>
      <c r="D128" s="209" t="s">
        <v>209</v>
      </c>
      <c r="E128" s="205">
        <v>104646017077.57401</v>
      </c>
    </row>
    <row r="129" spans="1:5" x14ac:dyDescent="0.25">
      <c r="A129" s="201" t="s">
        <v>99</v>
      </c>
      <c r="B129" s="219" t="s">
        <v>212</v>
      </c>
      <c r="C129" s="97" t="s">
        <v>11</v>
      </c>
      <c r="D129" s="209" t="s">
        <v>209</v>
      </c>
      <c r="E129" s="205">
        <v>650389595307.73889</v>
      </c>
    </row>
    <row r="130" spans="1:5" x14ac:dyDescent="0.25">
      <c r="A130" s="201" t="s">
        <v>99</v>
      </c>
      <c r="B130" s="219" t="s">
        <v>212</v>
      </c>
      <c r="C130" s="97" t="s">
        <v>11</v>
      </c>
      <c r="D130" s="209" t="s">
        <v>209</v>
      </c>
      <c r="E130" s="205">
        <v>20329926175.769646</v>
      </c>
    </row>
    <row r="131" spans="1:5" x14ac:dyDescent="0.25">
      <c r="A131" s="201" t="s">
        <v>99</v>
      </c>
      <c r="B131" s="219" t="s">
        <v>212</v>
      </c>
      <c r="C131" s="98" t="s">
        <v>43</v>
      </c>
      <c r="D131" s="209" t="s">
        <v>209</v>
      </c>
      <c r="E131" s="205">
        <v>24369755211.670631</v>
      </c>
    </row>
    <row r="132" spans="1:5" x14ac:dyDescent="0.25">
      <c r="A132" s="201" t="s">
        <v>99</v>
      </c>
      <c r="B132" s="219" t="s">
        <v>212</v>
      </c>
      <c r="C132" s="98" t="s">
        <v>43</v>
      </c>
      <c r="D132" s="209" t="s">
        <v>209</v>
      </c>
      <c r="E132" s="205">
        <v>10586697081.200031</v>
      </c>
    </row>
    <row r="133" spans="1:5" x14ac:dyDescent="0.25">
      <c r="A133" s="201" t="s">
        <v>99</v>
      </c>
      <c r="B133" s="219" t="s">
        <v>212</v>
      </c>
      <c r="C133" s="98" t="s">
        <v>43</v>
      </c>
      <c r="D133" s="209" t="s">
        <v>209</v>
      </c>
      <c r="E133" s="205">
        <v>81193486747.637253</v>
      </c>
    </row>
    <row r="134" spans="1:5" x14ac:dyDescent="0.25">
      <c r="A134" s="201" t="s">
        <v>99</v>
      </c>
      <c r="B134" s="219" t="s">
        <v>212</v>
      </c>
      <c r="C134" s="97" t="s">
        <v>11</v>
      </c>
      <c r="D134" s="209" t="s">
        <v>210</v>
      </c>
      <c r="E134" s="205">
        <v>5473139999.314414</v>
      </c>
    </row>
    <row r="135" spans="1:5" x14ac:dyDescent="0.25">
      <c r="A135" s="201" t="s">
        <v>99</v>
      </c>
      <c r="B135" s="219" t="s">
        <v>212</v>
      </c>
      <c r="C135" s="97" t="s">
        <v>11</v>
      </c>
      <c r="D135" s="209" t="s">
        <v>210</v>
      </c>
      <c r="E135" s="205">
        <v>1333172759792.5793</v>
      </c>
    </row>
    <row r="136" spans="1:5" x14ac:dyDescent="0.25">
      <c r="A136" s="201" t="s">
        <v>99</v>
      </c>
      <c r="B136" s="219" t="s">
        <v>212</v>
      </c>
      <c r="C136" s="97" t="s">
        <v>11</v>
      </c>
      <c r="D136" s="209" t="s">
        <v>210</v>
      </c>
      <c r="E136" s="205">
        <v>741051938939.77307</v>
      </c>
    </row>
    <row r="137" spans="1:5" x14ac:dyDescent="0.25">
      <c r="A137" s="201" t="s">
        <v>99</v>
      </c>
      <c r="B137" s="219" t="s">
        <v>212</v>
      </c>
      <c r="C137" s="98" t="s">
        <v>43</v>
      </c>
      <c r="D137" s="209" t="s">
        <v>210</v>
      </c>
      <c r="E137" s="205">
        <v>462581966790.51447</v>
      </c>
    </row>
    <row r="138" spans="1:5" x14ac:dyDescent="0.25">
      <c r="A138" s="201" t="s">
        <v>99</v>
      </c>
      <c r="B138" s="219" t="s">
        <v>212</v>
      </c>
      <c r="C138" s="98" t="s">
        <v>43</v>
      </c>
      <c r="D138" s="209" t="s">
        <v>210</v>
      </c>
      <c r="E138" s="205">
        <v>244405296168.75632</v>
      </c>
    </row>
    <row r="139" spans="1:5" x14ac:dyDescent="0.25">
      <c r="A139" s="201" t="s">
        <v>99</v>
      </c>
      <c r="B139" s="219" t="s">
        <v>212</v>
      </c>
      <c r="C139" s="98" t="s">
        <v>43</v>
      </c>
      <c r="D139" s="209" t="s">
        <v>210</v>
      </c>
      <c r="E139" s="205">
        <v>901283130552.9917</v>
      </c>
    </row>
    <row r="140" spans="1:5" x14ac:dyDescent="0.25">
      <c r="A140" s="201" t="s">
        <v>99</v>
      </c>
      <c r="B140" s="219" t="s">
        <v>212</v>
      </c>
      <c r="C140" s="97" t="s">
        <v>11</v>
      </c>
      <c r="D140" s="209" t="s">
        <v>211</v>
      </c>
      <c r="E140" s="205">
        <v>627235328898.74622</v>
      </c>
    </row>
    <row r="141" spans="1:5" x14ac:dyDescent="0.25">
      <c r="A141" s="201" t="s">
        <v>99</v>
      </c>
      <c r="B141" s="219" t="s">
        <v>212</v>
      </c>
      <c r="C141" s="97" t="s">
        <v>11</v>
      </c>
      <c r="D141" s="209" t="s">
        <v>211</v>
      </c>
      <c r="E141" s="205">
        <v>4944882230.6153421</v>
      </c>
    </row>
    <row r="142" spans="1:5" x14ac:dyDescent="0.25">
      <c r="A142" s="201" t="s">
        <v>99</v>
      </c>
      <c r="B142" s="219" t="s">
        <v>212</v>
      </c>
      <c r="C142" s="97" t="s">
        <v>11</v>
      </c>
      <c r="D142" s="209" t="s">
        <v>211</v>
      </c>
      <c r="E142" s="205">
        <v>3921031084.2228861</v>
      </c>
    </row>
    <row r="143" spans="1:5" x14ac:dyDescent="0.25">
      <c r="A143" s="201" t="s">
        <v>99</v>
      </c>
      <c r="B143" s="219" t="s">
        <v>212</v>
      </c>
      <c r="C143" s="98" t="s">
        <v>43</v>
      </c>
      <c r="D143" s="209" t="s">
        <v>211</v>
      </c>
      <c r="E143" s="205">
        <v>205075670.00573793</v>
      </c>
    </row>
    <row r="144" spans="1:5" x14ac:dyDescent="0.25">
      <c r="A144" s="201" t="s">
        <v>99</v>
      </c>
      <c r="B144" s="219" t="s">
        <v>212</v>
      </c>
      <c r="C144" s="98" t="s">
        <v>43</v>
      </c>
      <c r="D144" s="209" t="s">
        <v>211</v>
      </c>
      <c r="E144" s="205">
        <v>3441321297.54005</v>
      </c>
    </row>
    <row r="145" spans="1:5" x14ac:dyDescent="0.25">
      <c r="A145" s="201" t="s">
        <v>99</v>
      </c>
      <c r="B145" s="219" t="s">
        <v>212</v>
      </c>
      <c r="C145" s="98" t="s">
        <v>43</v>
      </c>
      <c r="D145" s="209" t="s">
        <v>211</v>
      </c>
      <c r="E145" s="205">
        <v>12327681164.238665</v>
      </c>
    </row>
    <row r="146" spans="1:5" x14ac:dyDescent="0.25">
      <c r="A146" s="201" t="s">
        <v>101</v>
      </c>
      <c r="B146" s="219" t="s">
        <v>212</v>
      </c>
      <c r="C146" s="97" t="s">
        <v>11</v>
      </c>
      <c r="D146" s="209" t="s">
        <v>209</v>
      </c>
      <c r="E146" s="205">
        <v>67616650939.142426</v>
      </c>
    </row>
    <row r="147" spans="1:5" x14ac:dyDescent="0.25">
      <c r="A147" s="201" t="s">
        <v>101</v>
      </c>
      <c r="B147" s="219" t="s">
        <v>212</v>
      </c>
      <c r="C147" s="97" t="s">
        <v>11</v>
      </c>
      <c r="D147" s="209" t="s">
        <v>209</v>
      </c>
      <c r="E147" s="205">
        <v>423774448860.23212</v>
      </c>
    </row>
    <row r="148" spans="1:5" x14ac:dyDescent="0.25">
      <c r="A148" s="201" t="s">
        <v>101</v>
      </c>
      <c r="B148" s="219" t="s">
        <v>212</v>
      </c>
      <c r="C148" s="97" t="s">
        <v>11</v>
      </c>
      <c r="D148" s="209" t="s">
        <v>209</v>
      </c>
      <c r="E148" s="205">
        <v>5333970003.348649</v>
      </c>
    </row>
    <row r="149" spans="1:5" x14ac:dyDescent="0.25">
      <c r="A149" s="201" t="s">
        <v>101</v>
      </c>
      <c r="B149" s="219" t="s">
        <v>212</v>
      </c>
      <c r="C149" s="98" t="s">
        <v>43</v>
      </c>
      <c r="D149" s="209" t="s">
        <v>209</v>
      </c>
      <c r="E149" s="205">
        <v>117116117038.215</v>
      </c>
    </row>
    <row r="150" spans="1:5" x14ac:dyDescent="0.25">
      <c r="A150" s="201" t="s">
        <v>101</v>
      </c>
      <c r="B150" s="219" t="s">
        <v>212</v>
      </c>
      <c r="C150" s="98" t="s">
        <v>43</v>
      </c>
      <c r="D150" s="209" t="s">
        <v>209</v>
      </c>
      <c r="E150" s="205">
        <v>269569723702.2767</v>
      </c>
    </row>
    <row r="151" spans="1:5" x14ac:dyDescent="0.25">
      <c r="A151" s="201" t="s">
        <v>101</v>
      </c>
      <c r="B151" s="219" t="s">
        <v>212</v>
      </c>
      <c r="C151" s="98" t="s">
        <v>43</v>
      </c>
      <c r="D151" s="209" t="s">
        <v>209</v>
      </c>
      <c r="E151" s="205">
        <v>266107960359.10577</v>
      </c>
    </row>
    <row r="152" spans="1:5" x14ac:dyDescent="0.25">
      <c r="A152" s="201" t="s">
        <v>101</v>
      </c>
      <c r="B152" s="219" t="s">
        <v>212</v>
      </c>
      <c r="C152" s="97" t="s">
        <v>11</v>
      </c>
      <c r="D152" s="209" t="s">
        <v>210</v>
      </c>
      <c r="E152" s="205">
        <v>28442390164.057793</v>
      </c>
    </row>
    <row r="153" spans="1:5" x14ac:dyDescent="0.25">
      <c r="A153" s="201" t="s">
        <v>101</v>
      </c>
      <c r="B153" s="219" t="s">
        <v>212</v>
      </c>
      <c r="C153" s="97" t="s">
        <v>11</v>
      </c>
      <c r="D153" s="209" t="s">
        <v>210</v>
      </c>
      <c r="E153" s="205">
        <v>1553338540072.4038</v>
      </c>
    </row>
    <row r="154" spans="1:5" x14ac:dyDescent="0.25">
      <c r="A154" s="201" t="s">
        <v>101</v>
      </c>
      <c r="B154" s="219" t="s">
        <v>212</v>
      </c>
      <c r="C154" s="97" t="s">
        <v>11</v>
      </c>
      <c r="D154" s="209" t="s">
        <v>210</v>
      </c>
      <c r="E154" s="205">
        <v>1475071692289.2754</v>
      </c>
    </row>
    <row r="155" spans="1:5" x14ac:dyDescent="0.25">
      <c r="A155" s="201" t="s">
        <v>101</v>
      </c>
      <c r="B155" s="219" t="s">
        <v>212</v>
      </c>
      <c r="C155" s="98" t="s">
        <v>43</v>
      </c>
      <c r="D155" s="209" t="s">
        <v>210</v>
      </c>
      <c r="E155" s="205">
        <v>1484635196701.3716</v>
      </c>
    </row>
    <row r="156" spans="1:5" x14ac:dyDescent="0.25">
      <c r="A156" s="201" t="s">
        <v>101</v>
      </c>
      <c r="B156" s="219" t="s">
        <v>212</v>
      </c>
      <c r="C156" s="98" t="s">
        <v>43</v>
      </c>
      <c r="D156" s="209" t="s">
        <v>210</v>
      </c>
      <c r="E156" s="205">
        <v>135008895674.83292</v>
      </c>
    </row>
    <row r="157" spans="1:5" x14ac:dyDescent="0.25">
      <c r="A157" s="201" t="s">
        <v>101</v>
      </c>
      <c r="B157" s="219" t="s">
        <v>212</v>
      </c>
      <c r="C157" s="98" t="s">
        <v>43</v>
      </c>
      <c r="D157" s="209" t="s">
        <v>210</v>
      </c>
      <c r="E157" s="205">
        <v>148751632060.01532</v>
      </c>
    </row>
    <row r="158" spans="1:5" x14ac:dyDescent="0.25">
      <c r="A158" s="201" t="s">
        <v>101</v>
      </c>
      <c r="B158" s="219" t="s">
        <v>212</v>
      </c>
      <c r="C158" s="97" t="s">
        <v>11</v>
      </c>
      <c r="D158" s="209" t="s">
        <v>211</v>
      </c>
      <c r="E158" s="205">
        <v>20992046463.308079</v>
      </c>
    </row>
    <row r="159" spans="1:5" x14ac:dyDescent="0.25">
      <c r="A159" s="201" t="s">
        <v>101</v>
      </c>
      <c r="B159" s="219" t="s">
        <v>212</v>
      </c>
      <c r="C159" s="97" t="s">
        <v>11</v>
      </c>
      <c r="D159" s="209" t="s">
        <v>211</v>
      </c>
      <c r="E159" s="205">
        <v>28442390164.057793</v>
      </c>
    </row>
    <row r="160" spans="1:5" x14ac:dyDescent="0.25">
      <c r="A160" s="201" t="s">
        <v>101</v>
      </c>
      <c r="B160" s="219" t="s">
        <v>212</v>
      </c>
      <c r="C160" s="97" t="s">
        <v>11</v>
      </c>
      <c r="D160" s="209" t="s">
        <v>211</v>
      </c>
      <c r="E160" s="205">
        <v>2393476890.7266269</v>
      </c>
    </row>
    <row r="161" spans="1:5" x14ac:dyDescent="0.25">
      <c r="A161" s="201" t="s">
        <v>101</v>
      </c>
      <c r="B161" s="219" t="s">
        <v>212</v>
      </c>
      <c r="C161" s="98" t="s">
        <v>43</v>
      </c>
      <c r="D161" s="209" t="s">
        <v>211</v>
      </c>
      <c r="E161" s="205">
        <v>27166836.052312315</v>
      </c>
    </row>
    <row r="162" spans="1:5" x14ac:dyDescent="0.25">
      <c r="A162" s="201" t="s">
        <v>101</v>
      </c>
      <c r="B162" s="219" t="s">
        <v>212</v>
      </c>
      <c r="C162" s="98" t="s">
        <v>43</v>
      </c>
      <c r="D162" s="209" t="s">
        <v>211</v>
      </c>
      <c r="E162" s="205">
        <v>110498670403.08997</v>
      </c>
    </row>
    <row r="163" spans="1:5" x14ac:dyDescent="0.25">
      <c r="A163" s="201" t="s">
        <v>101</v>
      </c>
      <c r="B163" s="219" t="s">
        <v>212</v>
      </c>
      <c r="C163" s="98" t="s">
        <v>43</v>
      </c>
      <c r="D163" s="209" t="s">
        <v>211</v>
      </c>
      <c r="E163" s="205">
        <v>457650128.82169104</v>
      </c>
    </row>
    <row r="164" spans="1:5" x14ac:dyDescent="0.25">
      <c r="A164" s="201" t="s">
        <v>102</v>
      </c>
      <c r="B164" s="219" t="s">
        <v>212</v>
      </c>
      <c r="C164" s="97" t="s">
        <v>11</v>
      </c>
      <c r="D164" s="209" t="s">
        <v>209</v>
      </c>
      <c r="E164" s="205">
        <v>9310778645.0507832</v>
      </c>
    </row>
    <row r="165" spans="1:5" x14ac:dyDescent="0.25">
      <c r="A165" s="201" t="s">
        <v>102</v>
      </c>
      <c r="B165" s="219" t="s">
        <v>212</v>
      </c>
      <c r="C165" s="97" t="s">
        <v>11</v>
      </c>
      <c r="D165" s="209" t="s">
        <v>209</v>
      </c>
      <c r="E165" s="205">
        <v>28175640324.302761</v>
      </c>
    </row>
    <row r="166" spans="1:5" x14ac:dyDescent="0.25">
      <c r="A166" s="201" t="s">
        <v>102</v>
      </c>
      <c r="B166" s="219" t="s">
        <v>212</v>
      </c>
      <c r="C166" s="97" t="s">
        <v>11</v>
      </c>
      <c r="D166" s="209" t="s">
        <v>209</v>
      </c>
      <c r="E166" s="205">
        <v>14053277340.595398</v>
      </c>
    </row>
    <row r="167" spans="1:5" x14ac:dyDescent="0.25">
      <c r="A167" s="201" t="s">
        <v>102</v>
      </c>
      <c r="B167" s="219" t="s">
        <v>212</v>
      </c>
      <c r="C167" s="98" t="s">
        <v>43</v>
      </c>
      <c r="D167" s="209" t="s">
        <v>209</v>
      </c>
      <c r="E167" s="205">
        <v>263945185.93120557</v>
      </c>
    </row>
    <row r="168" spans="1:5" x14ac:dyDescent="0.25">
      <c r="A168" s="201" t="s">
        <v>102</v>
      </c>
      <c r="B168" s="219" t="s">
        <v>212</v>
      </c>
      <c r="C168" s="98" t="s">
        <v>43</v>
      </c>
      <c r="D168" s="209" t="s">
        <v>209</v>
      </c>
      <c r="E168" s="205">
        <v>3546096011.9351211</v>
      </c>
    </row>
    <row r="169" spans="1:5" x14ac:dyDescent="0.25">
      <c r="A169" s="201" t="s">
        <v>102</v>
      </c>
      <c r="B169" s="219" t="s">
        <v>212</v>
      </c>
      <c r="C169" s="98" t="s">
        <v>43</v>
      </c>
      <c r="D169" s="209" t="s">
        <v>209</v>
      </c>
      <c r="E169" s="205">
        <v>770882999.08097684</v>
      </c>
    </row>
    <row r="170" spans="1:5" x14ac:dyDescent="0.25">
      <c r="A170" s="201" t="s">
        <v>102</v>
      </c>
      <c r="B170" s="219" t="s">
        <v>212</v>
      </c>
      <c r="C170" s="97" t="s">
        <v>11</v>
      </c>
      <c r="D170" s="209" t="s">
        <v>210</v>
      </c>
      <c r="E170" s="205">
        <v>21667912571.970474</v>
      </c>
    </row>
    <row r="171" spans="1:5" x14ac:dyDescent="0.25">
      <c r="A171" s="201" t="s">
        <v>102</v>
      </c>
      <c r="B171" s="219" t="s">
        <v>212</v>
      </c>
      <c r="C171" s="97" t="s">
        <v>11</v>
      </c>
      <c r="D171" s="209" t="s">
        <v>210</v>
      </c>
      <c r="E171" s="205">
        <v>1680581162838.9377</v>
      </c>
    </row>
    <row r="172" spans="1:5" x14ac:dyDescent="0.25">
      <c r="A172" s="201" t="s">
        <v>102</v>
      </c>
      <c r="B172" s="219" t="s">
        <v>212</v>
      </c>
      <c r="C172" s="97" t="s">
        <v>11</v>
      </c>
      <c r="D172" s="209" t="s">
        <v>210</v>
      </c>
      <c r="E172" s="205">
        <v>758938731365.86853</v>
      </c>
    </row>
    <row r="173" spans="1:5" x14ac:dyDescent="0.25">
      <c r="A173" s="201" t="s">
        <v>102</v>
      </c>
      <c r="B173" s="219" t="s">
        <v>212</v>
      </c>
      <c r="C173" s="98" t="s">
        <v>43</v>
      </c>
      <c r="D173" s="209" t="s">
        <v>210</v>
      </c>
      <c r="E173" s="205">
        <v>175868565542.01694</v>
      </c>
    </row>
    <row r="174" spans="1:5" x14ac:dyDescent="0.25">
      <c r="A174" s="201" t="s">
        <v>102</v>
      </c>
      <c r="B174" s="219" t="s">
        <v>212</v>
      </c>
      <c r="C174" s="98" t="s">
        <v>43</v>
      </c>
      <c r="D174" s="209" t="s">
        <v>210</v>
      </c>
      <c r="E174" s="205">
        <v>305937080328.6391</v>
      </c>
    </row>
    <row r="175" spans="1:5" x14ac:dyDescent="0.25">
      <c r="A175" s="201" t="s">
        <v>102</v>
      </c>
      <c r="B175" s="219" t="s">
        <v>212</v>
      </c>
      <c r="C175" s="98" t="s">
        <v>43</v>
      </c>
      <c r="D175" s="209" t="s">
        <v>210</v>
      </c>
      <c r="E175" s="205">
        <v>164985088780.70822</v>
      </c>
    </row>
    <row r="176" spans="1:5" x14ac:dyDescent="0.25">
      <c r="A176" s="201" t="s">
        <v>102</v>
      </c>
      <c r="B176" s="219" t="s">
        <v>212</v>
      </c>
      <c r="C176" s="97" t="s">
        <v>11</v>
      </c>
      <c r="D176" s="209" t="s">
        <v>211</v>
      </c>
      <c r="E176" s="205">
        <v>20327012211.429523</v>
      </c>
    </row>
    <row r="177" spans="1:5" x14ac:dyDescent="0.25">
      <c r="A177" s="201" t="s">
        <v>102</v>
      </c>
      <c r="B177" s="219" t="s">
        <v>212</v>
      </c>
      <c r="C177" s="97" t="s">
        <v>11</v>
      </c>
      <c r="D177" s="209" t="s">
        <v>211</v>
      </c>
      <c r="E177" s="205">
        <v>291521333.68103796</v>
      </c>
    </row>
    <row r="178" spans="1:5" x14ac:dyDescent="0.25">
      <c r="A178" s="201" t="s">
        <v>102</v>
      </c>
      <c r="B178" s="219" t="s">
        <v>212</v>
      </c>
      <c r="C178" s="97" t="s">
        <v>11</v>
      </c>
      <c r="D178" s="209" t="s">
        <v>211</v>
      </c>
      <c r="E178" s="205">
        <v>1460238292.7317712</v>
      </c>
    </row>
    <row r="179" spans="1:5" x14ac:dyDescent="0.25">
      <c r="A179" s="201" t="s">
        <v>102</v>
      </c>
      <c r="B179" s="219" t="s">
        <v>212</v>
      </c>
      <c r="C179" s="98" t="s">
        <v>43</v>
      </c>
      <c r="D179" s="209" t="s">
        <v>211</v>
      </c>
      <c r="E179" s="205">
        <v>43813948.053665027</v>
      </c>
    </row>
    <row r="180" spans="1:5" x14ac:dyDescent="0.25">
      <c r="A180" s="201" t="s">
        <v>102</v>
      </c>
      <c r="B180" s="219" t="s">
        <v>212</v>
      </c>
      <c r="C180" s="98" t="s">
        <v>43</v>
      </c>
      <c r="D180" s="209" t="s">
        <v>211</v>
      </c>
      <c r="E180" s="205">
        <v>412779794.91012466</v>
      </c>
    </row>
    <row r="181" spans="1:5" x14ac:dyDescent="0.25">
      <c r="A181" s="220" t="s">
        <v>102</v>
      </c>
      <c r="B181" s="221" t="s">
        <v>212</v>
      </c>
      <c r="C181" s="222" t="s">
        <v>43</v>
      </c>
      <c r="D181" s="223" t="s">
        <v>211</v>
      </c>
      <c r="E181" s="224">
        <v>371089973.32791519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1"/>
  <sheetViews>
    <sheetView workbookViewId="0">
      <selection activeCell="E7" sqref="E7"/>
    </sheetView>
  </sheetViews>
  <sheetFormatPr defaultColWidth="11.42578125" defaultRowHeight="15" x14ac:dyDescent="0.25"/>
  <sheetData>
    <row r="1" spans="1:4" x14ac:dyDescent="0.25">
      <c r="A1" s="225" t="s">
        <v>155</v>
      </c>
      <c r="B1" s="215" t="s">
        <v>104</v>
      </c>
      <c r="C1" s="216" t="s">
        <v>105</v>
      </c>
      <c r="D1" s="218" t="s">
        <v>206</v>
      </c>
    </row>
    <row r="2" spans="1:4" x14ac:dyDescent="0.25">
      <c r="A2" s="226" t="s">
        <v>207</v>
      </c>
      <c r="B2" s="227" t="s">
        <v>212</v>
      </c>
      <c r="C2" s="228" t="s">
        <v>11</v>
      </c>
      <c r="D2" s="229">
        <v>12794276860.314957</v>
      </c>
    </row>
    <row r="3" spans="1:4" x14ac:dyDescent="0.25">
      <c r="A3" s="230" t="s">
        <v>207</v>
      </c>
      <c r="B3" s="207" t="s">
        <v>212</v>
      </c>
      <c r="C3" s="231" t="s">
        <v>11</v>
      </c>
      <c r="D3" s="205">
        <v>39139324939.091553</v>
      </c>
    </row>
    <row r="4" spans="1:4" x14ac:dyDescent="0.25">
      <c r="A4" s="230" t="s">
        <v>207</v>
      </c>
      <c r="B4" s="207" t="s">
        <v>212</v>
      </c>
      <c r="C4" s="231" t="s">
        <v>11</v>
      </c>
      <c r="D4" s="205">
        <v>13777253816.082121</v>
      </c>
    </row>
    <row r="5" spans="1:4" x14ac:dyDescent="0.25">
      <c r="A5" s="226" t="s">
        <v>207</v>
      </c>
      <c r="B5" s="227" t="s">
        <v>212</v>
      </c>
      <c r="C5" s="232" t="s">
        <v>43</v>
      </c>
      <c r="D5" s="229">
        <v>855710532.59379792</v>
      </c>
    </row>
    <row r="6" spans="1:4" x14ac:dyDescent="0.25">
      <c r="A6" s="230" t="s">
        <v>207</v>
      </c>
      <c r="B6" s="207" t="s">
        <v>212</v>
      </c>
      <c r="C6" s="233" t="s">
        <v>43</v>
      </c>
      <c r="D6" s="205">
        <v>3426460257.1212611</v>
      </c>
    </row>
    <row r="7" spans="1:4" x14ac:dyDescent="0.25">
      <c r="A7" s="230" t="s">
        <v>207</v>
      </c>
      <c r="B7" s="207" t="s">
        <v>212</v>
      </c>
      <c r="C7" s="233" t="s">
        <v>43</v>
      </c>
      <c r="D7" s="205">
        <v>1958417899.6390011</v>
      </c>
    </row>
    <row r="8" spans="1:4" x14ac:dyDescent="0.25">
      <c r="A8" s="226" t="s">
        <v>83</v>
      </c>
      <c r="B8" s="227" t="s">
        <v>212</v>
      </c>
      <c r="C8" s="228" t="s">
        <v>11</v>
      </c>
      <c r="D8" s="229">
        <v>37766126472.900848</v>
      </c>
    </row>
    <row r="9" spans="1:4" x14ac:dyDescent="0.25">
      <c r="A9" s="230" t="s">
        <v>83</v>
      </c>
      <c r="B9" s="207" t="s">
        <v>212</v>
      </c>
      <c r="C9" s="231" t="s">
        <v>11</v>
      </c>
      <c r="D9" s="205">
        <v>141192610164.46078</v>
      </c>
    </row>
    <row r="10" spans="1:4" x14ac:dyDescent="0.25">
      <c r="A10" s="234" t="s">
        <v>83</v>
      </c>
      <c r="B10" s="235" t="s">
        <v>212</v>
      </c>
      <c r="C10" s="236" t="s">
        <v>11</v>
      </c>
      <c r="D10" s="224">
        <v>80562573077.97731</v>
      </c>
    </row>
    <row r="11" spans="1:4" x14ac:dyDescent="0.25">
      <c r="A11" s="230" t="s">
        <v>83</v>
      </c>
      <c r="B11" s="207" t="s">
        <v>212</v>
      </c>
      <c r="C11" s="233" t="s">
        <v>43</v>
      </c>
      <c r="D11" s="205">
        <v>1915981132.4098837</v>
      </c>
    </row>
    <row r="12" spans="1:4" x14ac:dyDescent="0.25">
      <c r="A12" s="230" t="s">
        <v>83</v>
      </c>
      <c r="B12" s="207" t="s">
        <v>212</v>
      </c>
      <c r="C12" s="233" t="s">
        <v>43</v>
      </c>
      <c r="D12" s="205">
        <v>11524242840.281443</v>
      </c>
    </row>
    <row r="13" spans="1:4" x14ac:dyDescent="0.25">
      <c r="A13" s="230" t="s">
        <v>83</v>
      </c>
      <c r="B13" s="207" t="s">
        <v>212</v>
      </c>
      <c r="C13" s="233" t="s">
        <v>43</v>
      </c>
      <c r="D13" s="205">
        <v>7218450091.6291428</v>
      </c>
    </row>
    <row r="14" spans="1:4" x14ac:dyDescent="0.25">
      <c r="A14" s="226" t="s">
        <v>91</v>
      </c>
      <c r="B14" s="227" t="s">
        <v>212</v>
      </c>
      <c r="C14" s="228" t="s">
        <v>11</v>
      </c>
      <c r="D14" s="229">
        <v>1931742133.1464598</v>
      </c>
    </row>
    <row r="15" spans="1:4" x14ac:dyDescent="0.25">
      <c r="A15" s="230" t="s">
        <v>91</v>
      </c>
      <c r="B15" s="207" t="s">
        <v>212</v>
      </c>
      <c r="C15" s="231" t="s">
        <v>11</v>
      </c>
      <c r="D15" s="205">
        <v>433281974.85981303</v>
      </c>
    </row>
    <row r="16" spans="1:4" x14ac:dyDescent="0.25">
      <c r="A16" s="230" t="s">
        <v>91</v>
      </c>
      <c r="B16" s="207" t="s">
        <v>212</v>
      </c>
      <c r="C16" s="231" t="s">
        <v>11</v>
      </c>
      <c r="D16" s="205">
        <v>648388036.58190274</v>
      </c>
    </row>
    <row r="17" spans="1:4" x14ac:dyDescent="0.25">
      <c r="A17" s="226" t="s">
        <v>91</v>
      </c>
      <c r="B17" s="227" t="s">
        <v>212</v>
      </c>
      <c r="C17" s="232" t="s">
        <v>43</v>
      </c>
      <c r="D17" s="229">
        <v>26463706811.101383</v>
      </c>
    </row>
    <row r="18" spans="1:4" x14ac:dyDescent="0.25">
      <c r="A18" s="230" t="s">
        <v>91</v>
      </c>
      <c r="B18" s="207" t="s">
        <v>212</v>
      </c>
      <c r="C18" s="233" t="s">
        <v>43</v>
      </c>
      <c r="D18" s="205">
        <v>5958492766.8753443</v>
      </c>
    </row>
    <row r="19" spans="1:4" x14ac:dyDescent="0.25">
      <c r="A19" s="230" t="s">
        <v>91</v>
      </c>
      <c r="B19" s="207" t="s">
        <v>212</v>
      </c>
      <c r="C19" s="233" t="s">
        <v>43</v>
      </c>
      <c r="D19" s="205">
        <v>5016143277.124052</v>
      </c>
    </row>
    <row r="20" spans="1:4" x14ac:dyDescent="0.25">
      <c r="A20" s="226" t="s">
        <v>149</v>
      </c>
      <c r="B20" s="227" t="s">
        <v>212</v>
      </c>
      <c r="C20" s="228" t="s">
        <v>11</v>
      </c>
      <c r="D20" s="229">
        <v>32798478553.382648</v>
      </c>
    </row>
    <row r="21" spans="1:4" x14ac:dyDescent="0.25">
      <c r="A21" s="230" t="s">
        <v>149</v>
      </c>
      <c r="B21" s="207" t="s">
        <v>212</v>
      </c>
      <c r="C21" s="231" t="s">
        <v>11</v>
      </c>
      <c r="D21" s="205">
        <v>66204363303.96167</v>
      </c>
    </row>
    <row r="22" spans="1:4" x14ac:dyDescent="0.25">
      <c r="A22" s="230" t="s">
        <v>149</v>
      </c>
      <c r="B22" s="207" t="s">
        <v>212</v>
      </c>
      <c r="C22" s="231" t="s">
        <v>11</v>
      </c>
      <c r="D22" s="205">
        <v>22472885747.93005</v>
      </c>
    </row>
    <row r="23" spans="1:4" x14ac:dyDescent="0.25">
      <c r="A23" s="226" t="s">
        <v>149</v>
      </c>
      <c r="B23" s="227" t="s">
        <v>212</v>
      </c>
      <c r="C23" s="232" t="s">
        <v>43</v>
      </c>
      <c r="D23" s="229">
        <v>4962151395.2457724</v>
      </c>
    </row>
    <row r="24" spans="1:4" x14ac:dyDescent="0.25">
      <c r="A24" s="230" t="s">
        <v>149</v>
      </c>
      <c r="B24" s="207" t="s">
        <v>212</v>
      </c>
      <c r="C24" s="233" t="s">
        <v>43</v>
      </c>
      <c r="D24" s="205">
        <v>7669311148.0477896</v>
      </c>
    </row>
    <row r="25" spans="1:4" x14ac:dyDescent="0.25">
      <c r="A25" s="234" t="s">
        <v>149</v>
      </c>
      <c r="B25" s="235" t="s">
        <v>212</v>
      </c>
      <c r="C25" s="237" t="s">
        <v>43</v>
      </c>
      <c r="D25" s="224">
        <v>32486784244.665947</v>
      </c>
    </row>
    <row r="26" spans="1:4" x14ac:dyDescent="0.25">
      <c r="A26" s="230" t="s">
        <v>214</v>
      </c>
      <c r="B26" s="207" t="s">
        <v>212</v>
      </c>
      <c r="C26" s="231" t="s">
        <v>11</v>
      </c>
      <c r="D26" s="205">
        <v>82650946612.680649</v>
      </c>
    </row>
    <row r="27" spans="1:4" x14ac:dyDescent="0.25">
      <c r="A27" s="230" t="s">
        <v>214</v>
      </c>
      <c r="B27" s="207" t="s">
        <v>212</v>
      </c>
      <c r="C27" s="231" t="s">
        <v>11</v>
      </c>
      <c r="D27" s="205">
        <v>184650884299.58911</v>
      </c>
    </row>
    <row r="28" spans="1:4" x14ac:dyDescent="0.25">
      <c r="A28" s="230" t="s">
        <v>214</v>
      </c>
      <c r="B28" s="207" t="s">
        <v>212</v>
      </c>
      <c r="C28" s="231" t="s">
        <v>11</v>
      </c>
      <c r="D28" s="205">
        <v>87290507909.775314</v>
      </c>
    </row>
    <row r="29" spans="1:4" x14ac:dyDescent="0.25">
      <c r="A29" s="226" t="s">
        <v>214</v>
      </c>
      <c r="B29" s="227" t="s">
        <v>212</v>
      </c>
      <c r="C29" s="232" t="s">
        <v>43</v>
      </c>
      <c r="D29" s="229">
        <v>2173914237.148665</v>
      </c>
    </row>
    <row r="30" spans="1:4" x14ac:dyDescent="0.25">
      <c r="A30" s="230" t="s">
        <v>214</v>
      </c>
      <c r="B30" s="207" t="s">
        <v>212</v>
      </c>
      <c r="C30" s="233" t="s">
        <v>43</v>
      </c>
      <c r="D30" s="205">
        <v>12746682433.620687</v>
      </c>
    </row>
    <row r="31" spans="1:4" x14ac:dyDescent="0.25">
      <c r="A31" s="234" t="s">
        <v>214</v>
      </c>
      <c r="B31" s="235" t="s">
        <v>212</v>
      </c>
      <c r="C31" s="237" t="s">
        <v>43</v>
      </c>
      <c r="D31" s="224">
        <v>20717724699.48576</v>
      </c>
    </row>
    <row r="32" spans="1:4" x14ac:dyDescent="0.25">
      <c r="A32" s="230" t="s">
        <v>95</v>
      </c>
      <c r="B32" s="207" t="s">
        <v>212</v>
      </c>
      <c r="C32" s="231" t="s">
        <v>11</v>
      </c>
      <c r="D32" s="205">
        <v>39636221076.260468</v>
      </c>
    </row>
    <row r="33" spans="1:4" x14ac:dyDescent="0.25">
      <c r="A33" s="230" t="s">
        <v>95</v>
      </c>
      <c r="B33" s="207" t="s">
        <v>212</v>
      </c>
      <c r="C33" s="231" t="s">
        <v>11</v>
      </c>
      <c r="D33" s="205">
        <v>163523901671.26422</v>
      </c>
    </row>
    <row r="34" spans="1:4" x14ac:dyDescent="0.25">
      <c r="A34" s="230" t="s">
        <v>95</v>
      </c>
      <c r="B34" s="207" t="s">
        <v>212</v>
      </c>
      <c r="C34" s="231" t="s">
        <v>11</v>
      </c>
      <c r="D34" s="205">
        <v>49216624150.820656</v>
      </c>
    </row>
    <row r="35" spans="1:4" x14ac:dyDescent="0.25">
      <c r="A35" s="226" t="s">
        <v>95</v>
      </c>
      <c r="B35" s="227" t="s">
        <v>212</v>
      </c>
      <c r="C35" s="232" t="s">
        <v>43</v>
      </c>
      <c r="D35" s="229">
        <v>1651376296.2949131</v>
      </c>
    </row>
    <row r="36" spans="1:4" x14ac:dyDescent="0.25">
      <c r="A36" s="230" t="s">
        <v>95</v>
      </c>
      <c r="B36" s="207" t="s">
        <v>212</v>
      </c>
      <c r="C36" s="233" t="s">
        <v>43</v>
      </c>
      <c r="D36" s="205">
        <v>9437328038.1217899</v>
      </c>
    </row>
    <row r="37" spans="1:4" x14ac:dyDescent="0.25">
      <c r="A37" s="234" t="s">
        <v>95</v>
      </c>
      <c r="B37" s="235" t="s">
        <v>212</v>
      </c>
      <c r="C37" s="237" t="s">
        <v>43</v>
      </c>
      <c r="D37" s="224">
        <v>5389658816.723074</v>
      </c>
    </row>
    <row r="38" spans="1:4" x14ac:dyDescent="0.25">
      <c r="A38" s="230" t="s">
        <v>97</v>
      </c>
      <c r="B38" s="207" t="s">
        <v>212</v>
      </c>
      <c r="C38" s="231" t="s">
        <v>11</v>
      </c>
      <c r="D38" s="205">
        <v>28868311043.490139</v>
      </c>
    </row>
    <row r="39" spans="1:4" x14ac:dyDescent="0.25">
      <c r="A39" s="230" t="s">
        <v>97</v>
      </c>
      <c r="B39" s="207" t="s">
        <v>212</v>
      </c>
      <c r="C39" s="231" t="s">
        <v>11</v>
      </c>
      <c r="D39" s="205">
        <v>46937673139.988861</v>
      </c>
    </row>
    <row r="40" spans="1:4" x14ac:dyDescent="0.25">
      <c r="A40" s="230" t="s">
        <v>97</v>
      </c>
      <c r="B40" s="207" t="s">
        <v>212</v>
      </c>
      <c r="C40" s="231" t="s">
        <v>11</v>
      </c>
      <c r="D40" s="205">
        <v>16194055654.822773</v>
      </c>
    </row>
    <row r="41" spans="1:4" x14ac:dyDescent="0.25">
      <c r="A41" s="226" t="s">
        <v>97</v>
      </c>
      <c r="B41" s="227" t="s">
        <v>212</v>
      </c>
      <c r="C41" s="232" t="s">
        <v>43</v>
      </c>
      <c r="D41" s="229">
        <v>12790272925.940699</v>
      </c>
    </row>
    <row r="42" spans="1:4" x14ac:dyDescent="0.25">
      <c r="A42" s="230" t="s">
        <v>97</v>
      </c>
      <c r="B42" s="207" t="s">
        <v>212</v>
      </c>
      <c r="C42" s="233" t="s">
        <v>43</v>
      </c>
      <c r="D42" s="205">
        <v>23400110056.291599</v>
      </c>
    </row>
    <row r="43" spans="1:4" x14ac:dyDescent="0.25">
      <c r="A43" s="234" t="s">
        <v>97</v>
      </c>
      <c r="B43" s="235" t="s">
        <v>212</v>
      </c>
      <c r="C43" s="237" t="s">
        <v>43</v>
      </c>
      <c r="D43" s="224">
        <v>47271113316.925766</v>
      </c>
    </row>
    <row r="44" spans="1:4" x14ac:dyDescent="0.25">
      <c r="A44" s="230" t="s">
        <v>99</v>
      </c>
      <c r="B44" s="207" t="s">
        <v>212</v>
      </c>
      <c r="C44" s="231" t="s">
        <v>11</v>
      </c>
      <c r="D44" s="205">
        <v>71088048277.560013</v>
      </c>
    </row>
    <row r="45" spans="1:4" x14ac:dyDescent="0.25">
      <c r="A45" s="230" t="s">
        <v>99</v>
      </c>
      <c r="B45" s="207" t="s">
        <v>212</v>
      </c>
      <c r="C45" s="231" t="s">
        <v>11</v>
      </c>
      <c r="D45" s="205">
        <v>162457084997.09726</v>
      </c>
    </row>
    <row r="46" spans="1:4" x14ac:dyDescent="0.25">
      <c r="A46" s="230" t="s">
        <v>99</v>
      </c>
      <c r="B46" s="207" t="s">
        <v>212</v>
      </c>
      <c r="C46" s="231" t="s">
        <v>11</v>
      </c>
      <c r="D46" s="205">
        <v>38945885100.139145</v>
      </c>
    </row>
    <row r="47" spans="1:4" x14ac:dyDescent="0.25">
      <c r="A47" s="226" t="s">
        <v>99</v>
      </c>
      <c r="B47" s="227" t="s">
        <v>212</v>
      </c>
      <c r="C47" s="232" t="s">
        <v>43</v>
      </c>
      <c r="D47" s="229">
        <v>13222634745.999681</v>
      </c>
    </row>
    <row r="48" spans="1:4" x14ac:dyDescent="0.25">
      <c r="A48" s="230" t="s">
        <v>99</v>
      </c>
      <c r="B48" s="207" t="s">
        <v>212</v>
      </c>
      <c r="C48" s="233" t="s">
        <v>43</v>
      </c>
      <c r="D48" s="205">
        <v>20726792862.305397</v>
      </c>
    </row>
    <row r="49" spans="1:4" x14ac:dyDescent="0.25">
      <c r="A49" s="234" t="s">
        <v>99</v>
      </c>
      <c r="B49" s="235" t="s">
        <v>212</v>
      </c>
      <c r="C49" s="237" t="s">
        <v>43</v>
      </c>
      <c r="D49" s="224">
        <v>96624651967.167801</v>
      </c>
    </row>
    <row r="50" spans="1:4" x14ac:dyDescent="0.25">
      <c r="A50" s="230" t="s">
        <v>101</v>
      </c>
      <c r="B50" s="207" t="s">
        <v>212</v>
      </c>
      <c r="C50" s="231" t="s">
        <v>11</v>
      </c>
      <c r="D50" s="205">
        <v>34305059345.857693</v>
      </c>
    </row>
    <row r="51" spans="1:4" x14ac:dyDescent="0.25">
      <c r="A51" s="230" t="s">
        <v>101</v>
      </c>
      <c r="B51" s="207" t="s">
        <v>212</v>
      </c>
      <c r="C51" s="231" t="s">
        <v>11</v>
      </c>
      <c r="D51" s="205">
        <v>265535337354.74411</v>
      </c>
    </row>
    <row r="52" spans="1:4" x14ac:dyDescent="0.25">
      <c r="A52" s="230" t="s">
        <v>101</v>
      </c>
      <c r="B52" s="207" t="s">
        <v>212</v>
      </c>
      <c r="C52" s="231" t="s">
        <v>11</v>
      </c>
      <c r="D52" s="205">
        <v>26605064253.417404</v>
      </c>
    </row>
    <row r="53" spans="1:4" x14ac:dyDescent="0.25">
      <c r="A53" s="226" t="s">
        <v>101</v>
      </c>
      <c r="B53" s="227" t="s">
        <v>212</v>
      </c>
      <c r="C53" s="232" t="s">
        <v>43</v>
      </c>
      <c r="D53" s="229">
        <v>16778707110.23015</v>
      </c>
    </row>
    <row r="54" spans="1:4" x14ac:dyDescent="0.25">
      <c r="A54" s="230" t="s">
        <v>101</v>
      </c>
      <c r="B54" s="207" t="s">
        <v>212</v>
      </c>
      <c r="C54" s="233" t="s">
        <v>43</v>
      </c>
      <c r="D54" s="205">
        <v>159024308916.97144</v>
      </c>
    </row>
    <row r="55" spans="1:4" x14ac:dyDescent="0.25">
      <c r="A55" s="234" t="s">
        <v>101</v>
      </c>
      <c r="B55" s="235" t="s">
        <v>212</v>
      </c>
      <c r="C55" s="237" t="s">
        <v>43</v>
      </c>
      <c r="D55" s="224">
        <v>26263407056.495293</v>
      </c>
    </row>
    <row r="56" spans="1:4" x14ac:dyDescent="0.25">
      <c r="A56" s="230" t="s">
        <v>102</v>
      </c>
      <c r="B56" s="207" t="s">
        <v>212</v>
      </c>
      <c r="C56" s="231" t="s">
        <v>11</v>
      </c>
      <c r="D56" s="205">
        <v>16006346280.339216</v>
      </c>
    </row>
    <row r="57" spans="1:4" x14ac:dyDescent="0.25">
      <c r="A57" s="230" t="s">
        <v>102</v>
      </c>
      <c r="B57" s="207" t="s">
        <v>212</v>
      </c>
      <c r="C57" s="231" t="s">
        <v>11</v>
      </c>
      <c r="D57" s="205">
        <v>23988395991.342278</v>
      </c>
    </row>
    <row r="58" spans="1:4" x14ac:dyDescent="0.25">
      <c r="A58" s="230" t="s">
        <v>102</v>
      </c>
      <c r="B58" s="207" t="s">
        <v>212</v>
      </c>
      <c r="C58" s="231" t="s">
        <v>11</v>
      </c>
      <c r="D58" s="205">
        <v>24972921713.193607</v>
      </c>
    </row>
    <row r="59" spans="1:4" x14ac:dyDescent="0.25">
      <c r="A59" s="226" t="s">
        <v>102</v>
      </c>
      <c r="B59" s="227" t="s">
        <v>212</v>
      </c>
      <c r="C59" s="232" t="s">
        <v>43</v>
      </c>
      <c r="D59" s="229">
        <v>1266984937.7071223</v>
      </c>
    </row>
    <row r="60" spans="1:4" x14ac:dyDescent="0.25">
      <c r="A60" s="230" t="s">
        <v>102</v>
      </c>
      <c r="B60" s="207" t="s">
        <v>212</v>
      </c>
      <c r="C60" s="233" t="s">
        <v>43</v>
      </c>
      <c r="D60" s="205">
        <v>7650685441.1547585</v>
      </c>
    </row>
    <row r="61" spans="1:4" x14ac:dyDescent="0.25">
      <c r="A61" s="234" t="s">
        <v>102</v>
      </c>
      <c r="B61" s="235" t="s">
        <v>212</v>
      </c>
      <c r="C61" s="237" t="s">
        <v>43</v>
      </c>
      <c r="D61" s="224">
        <v>3613855591.1959043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A25C-4627-48F7-BAF0-4DDF3CAF0880}">
  <dimension ref="A1:I487"/>
  <sheetViews>
    <sheetView workbookViewId="0">
      <selection activeCell="H29" sqref="H29"/>
    </sheetView>
  </sheetViews>
  <sheetFormatPr defaultColWidth="11.42578125" defaultRowHeight="15" x14ac:dyDescent="0.25"/>
  <cols>
    <col min="1" max="1" width="11.42578125" style="122"/>
    <col min="2" max="16384" width="11.42578125" style="22"/>
  </cols>
  <sheetData>
    <row r="1" spans="1:6" x14ac:dyDescent="0.25">
      <c r="A1" s="119" t="s">
        <v>155</v>
      </c>
      <c r="B1" s="102" t="s">
        <v>104</v>
      </c>
      <c r="C1" s="100" t="s">
        <v>105</v>
      </c>
      <c r="D1" s="101" t="s">
        <v>229</v>
      </c>
      <c r="E1" s="123" t="s">
        <v>221</v>
      </c>
    </row>
    <row r="2" spans="1:6" x14ac:dyDescent="0.25">
      <c r="A2" s="119" t="s">
        <v>215</v>
      </c>
      <c r="B2" s="105" t="s">
        <v>10</v>
      </c>
      <c r="C2" s="103" t="s">
        <v>11</v>
      </c>
      <c r="D2" s="112" t="s">
        <v>209</v>
      </c>
      <c r="E2" s="113">
        <v>19.841928426717651</v>
      </c>
    </row>
    <row r="3" spans="1:6" x14ac:dyDescent="0.25">
      <c r="A3" s="120" t="s">
        <v>215</v>
      </c>
      <c r="B3" s="5" t="s">
        <v>10</v>
      </c>
      <c r="C3" s="6" t="s">
        <v>11</v>
      </c>
      <c r="D3" s="114" t="s">
        <v>210</v>
      </c>
      <c r="E3" s="113">
        <v>17.969882590244399</v>
      </c>
    </row>
    <row r="4" spans="1:6" x14ac:dyDescent="0.25">
      <c r="A4" s="120" t="s">
        <v>215</v>
      </c>
      <c r="B4" s="5" t="s">
        <v>10</v>
      </c>
      <c r="C4" s="6" t="s">
        <v>11</v>
      </c>
      <c r="D4" s="114" t="s">
        <v>211</v>
      </c>
      <c r="E4" s="113">
        <v>25.863309334762601</v>
      </c>
    </row>
    <row r="5" spans="1:6" x14ac:dyDescent="0.25">
      <c r="A5" s="120" t="s">
        <v>215</v>
      </c>
      <c r="B5" s="5" t="s">
        <v>10</v>
      </c>
      <c r="C5" s="6" t="s">
        <v>11</v>
      </c>
      <c r="D5" s="114" t="s">
        <v>209</v>
      </c>
      <c r="E5" s="113">
        <v>19.790779922612202</v>
      </c>
    </row>
    <row r="6" spans="1:6" x14ac:dyDescent="0.25">
      <c r="A6" s="120" t="s">
        <v>215</v>
      </c>
      <c r="B6" s="5" t="s">
        <v>10</v>
      </c>
      <c r="C6" s="6" t="s">
        <v>11</v>
      </c>
      <c r="D6" s="114" t="s">
        <v>210</v>
      </c>
      <c r="E6" s="113">
        <v>15.84222915811025</v>
      </c>
    </row>
    <row r="7" spans="1:6" x14ac:dyDescent="0.25">
      <c r="A7" s="120" t="s">
        <v>215</v>
      </c>
      <c r="B7" s="5" t="s">
        <v>10</v>
      </c>
      <c r="C7" s="6" t="s">
        <v>11</v>
      </c>
      <c r="D7" s="114" t="s">
        <v>211</v>
      </c>
      <c r="E7" s="113">
        <v>25.330030295141448</v>
      </c>
    </row>
    <row r="8" spans="1:6" x14ac:dyDescent="0.25">
      <c r="A8" s="120" t="s">
        <v>215</v>
      </c>
      <c r="B8" s="5" t="s">
        <v>10</v>
      </c>
      <c r="C8" s="6" t="s">
        <v>11</v>
      </c>
      <c r="D8" s="114" t="s">
        <v>209</v>
      </c>
      <c r="E8" s="113">
        <v>22.329423264248248</v>
      </c>
    </row>
    <row r="9" spans="1:6" x14ac:dyDescent="0.25">
      <c r="A9" s="120" t="s">
        <v>215</v>
      </c>
      <c r="B9" s="5" t="s">
        <v>10</v>
      </c>
      <c r="C9" s="6" t="s">
        <v>11</v>
      </c>
      <c r="D9" s="114" t="s">
        <v>210</v>
      </c>
      <c r="E9" s="113">
        <v>15.627482931537351</v>
      </c>
    </row>
    <row r="10" spans="1:6" x14ac:dyDescent="0.25">
      <c r="A10" s="120" t="s">
        <v>215</v>
      </c>
      <c r="B10" s="5" t="s">
        <v>10</v>
      </c>
      <c r="C10" s="6" t="s">
        <v>11</v>
      </c>
      <c r="D10" s="114" t="s">
        <v>211</v>
      </c>
      <c r="E10" s="113">
        <v>25.10889935325115</v>
      </c>
    </row>
    <row r="11" spans="1:6" x14ac:dyDescent="0.25">
      <c r="A11" s="120" t="s">
        <v>215</v>
      </c>
      <c r="B11" s="5" t="s">
        <v>10</v>
      </c>
      <c r="C11" s="7" t="s">
        <v>43</v>
      </c>
      <c r="D11" s="114" t="s">
        <v>209</v>
      </c>
      <c r="E11" s="113">
        <v>20.573944466161301</v>
      </c>
    </row>
    <row r="12" spans="1:6" x14ac:dyDescent="0.25">
      <c r="A12" s="120" t="s">
        <v>215</v>
      </c>
      <c r="B12" s="5" t="s">
        <v>10</v>
      </c>
      <c r="C12" s="7" t="s">
        <v>43</v>
      </c>
      <c r="D12" s="114" t="s">
        <v>210</v>
      </c>
      <c r="E12" s="113">
        <v>15.122657392231101</v>
      </c>
      <c r="F12" s="122"/>
    </row>
    <row r="13" spans="1:6" x14ac:dyDescent="0.25">
      <c r="A13" s="120" t="s">
        <v>215</v>
      </c>
      <c r="B13" s="5" t="s">
        <v>10</v>
      </c>
      <c r="C13" s="7" t="s">
        <v>43</v>
      </c>
      <c r="D13" s="114" t="s">
        <v>211</v>
      </c>
      <c r="E13" s="113">
        <v>21.074509247825048</v>
      </c>
    </row>
    <row r="14" spans="1:6" x14ac:dyDescent="0.25">
      <c r="A14" s="120" t="s">
        <v>215</v>
      </c>
      <c r="B14" s="5" t="s">
        <v>10</v>
      </c>
      <c r="C14" s="7" t="s">
        <v>43</v>
      </c>
      <c r="D14" s="114" t="s">
        <v>209</v>
      </c>
      <c r="E14" s="113">
        <v>20.029341902235998</v>
      </c>
    </row>
    <row r="15" spans="1:6" x14ac:dyDescent="0.25">
      <c r="A15" s="120" t="s">
        <v>215</v>
      </c>
      <c r="B15" s="5" t="s">
        <v>10</v>
      </c>
      <c r="C15" s="7" t="s">
        <v>43</v>
      </c>
      <c r="D15" s="114" t="s">
        <v>210</v>
      </c>
      <c r="E15" s="113">
        <v>16.365065828084148</v>
      </c>
    </row>
    <row r="16" spans="1:6" x14ac:dyDescent="0.25">
      <c r="A16" s="120" t="s">
        <v>215</v>
      </c>
      <c r="B16" s="5" t="s">
        <v>10</v>
      </c>
      <c r="C16" s="7" t="s">
        <v>43</v>
      </c>
      <c r="D16" s="114" t="s">
        <v>211</v>
      </c>
      <c r="E16" s="113">
        <v>27.791782834235647</v>
      </c>
    </row>
    <row r="17" spans="1:9" x14ac:dyDescent="0.25">
      <c r="A17" s="120" t="s">
        <v>215</v>
      </c>
      <c r="B17" s="5" t="s">
        <v>10</v>
      </c>
      <c r="C17" s="7" t="s">
        <v>43</v>
      </c>
      <c r="D17" s="114" t="s">
        <v>209</v>
      </c>
      <c r="E17" s="113">
        <v>30.489604324436751</v>
      </c>
    </row>
    <row r="18" spans="1:9" x14ac:dyDescent="0.25">
      <c r="A18" s="120" t="s">
        <v>215</v>
      </c>
      <c r="B18" s="5" t="s">
        <v>10</v>
      </c>
      <c r="C18" s="7" t="s">
        <v>43</v>
      </c>
      <c r="D18" s="114" t="s">
        <v>210</v>
      </c>
      <c r="E18" s="113">
        <v>22.063494034474552</v>
      </c>
    </row>
    <row r="19" spans="1:9" x14ac:dyDescent="0.25">
      <c r="A19" s="120" t="s">
        <v>215</v>
      </c>
      <c r="B19" s="5" t="s">
        <v>10</v>
      </c>
      <c r="C19" s="7" t="s">
        <v>43</v>
      </c>
      <c r="D19" s="114" t="s">
        <v>211</v>
      </c>
      <c r="E19" s="113">
        <v>26.856793689393701</v>
      </c>
    </row>
    <row r="20" spans="1:9" x14ac:dyDescent="0.25">
      <c r="A20" s="120" t="s">
        <v>215</v>
      </c>
      <c r="B20" s="4" t="s">
        <v>23</v>
      </c>
      <c r="C20" s="6" t="s">
        <v>11</v>
      </c>
      <c r="D20" s="114" t="s">
        <v>209</v>
      </c>
      <c r="E20" s="113">
        <v>22.100818161930249</v>
      </c>
    </row>
    <row r="21" spans="1:9" x14ac:dyDescent="0.25">
      <c r="A21" s="120" t="s">
        <v>215</v>
      </c>
      <c r="B21" s="4" t="s">
        <v>23</v>
      </c>
      <c r="C21" s="6" t="s">
        <v>11</v>
      </c>
      <c r="D21" s="114" t="s">
        <v>210</v>
      </c>
      <c r="E21" s="113">
        <v>15.907585597021651</v>
      </c>
    </row>
    <row r="22" spans="1:9" x14ac:dyDescent="0.25">
      <c r="A22" s="120" t="s">
        <v>215</v>
      </c>
      <c r="B22" s="4" t="s">
        <v>23</v>
      </c>
      <c r="C22" s="6" t="s">
        <v>11</v>
      </c>
      <c r="D22" s="114" t="s">
        <v>211</v>
      </c>
      <c r="E22" s="113">
        <v>24.680436343333348</v>
      </c>
    </row>
    <row r="23" spans="1:9" x14ac:dyDescent="0.25">
      <c r="A23" s="120" t="s">
        <v>215</v>
      </c>
      <c r="B23" s="4" t="s">
        <v>23</v>
      </c>
      <c r="C23" s="6" t="s">
        <v>11</v>
      </c>
      <c r="D23" s="114" t="s">
        <v>209</v>
      </c>
      <c r="E23" s="113">
        <v>18.63675309553555</v>
      </c>
    </row>
    <row r="24" spans="1:9" x14ac:dyDescent="0.25">
      <c r="A24" s="120" t="s">
        <v>215</v>
      </c>
      <c r="B24" s="4" t="s">
        <v>23</v>
      </c>
      <c r="C24" s="6" t="s">
        <v>11</v>
      </c>
      <c r="D24" s="114" t="s">
        <v>210</v>
      </c>
      <c r="E24" s="113">
        <v>15.025192620961601</v>
      </c>
    </row>
    <row r="25" spans="1:9" x14ac:dyDescent="0.25">
      <c r="A25" s="120" t="s">
        <v>215</v>
      </c>
      <c r="B25" s="4" t="s">
        <v>23</v>
      </c>
      <c r="C25" s="6" t="s">
        <v>11</v>
      </c>
      <c r="D25" s="114" t="s">
        <v>211</v>
      </c>
      <c r="E25" s="113">
        <v>24.118959579206951</v>
      </c>
    </row>
    <row r="26" spans="1:9" x14ac:dyDescent="0.25">
      <c r="A26" s="120" t="s">
        <v>215</v>
      </c>
      <c r="B26" s="4" t="s">
        <v>23</v>
      </c>
      <c r="C26" s="6" t="s">
        <v>11</v>
      </c>
      <c r="D26" s="114" t="s">
        <v>209</v>
      </c>
      <c r="E26" s="113">
        <v>22.846000389837499</v>
      </c>
    </row>
    <row r="27" spans="1:9" x14ac:dyDescent="0.25">
      <c r="A27" s="120" t="s">
        <v>215</v>
      </c>
      <c r="B27" s="4" t="s">
        <v>23</v>
      </c>
      <c r="C27" s="6" t="s">
        <v>11</v>
      </c>
      <c r="D27" s="114" t="s">
        <v>210</v>
      </c>
      <c r="E27" s="113">
        <v>15.554024884635801</v>
      </c>
    </row>
    <row r="28" spans="1:9" x14ac:dyDescent="0.25">
      <c r="A28" s="120" t="s">
        <v>215</v>
      </c>
      <c r="B28" s="4" t="s">
        <v>23</v>
      </c>
      <c r="C28" s="6" t="s">
        <v>11</v>
      </c>
      <c r="D28" s="114" t="s">
        <v>211</v>
      </c>
      <c r="E28" s="113">
        <v>23.9639059572335</v>
      </c>
      <c r="I28" s="122"/>
    </row>
    <row r="29" spans="1:9" x14ac:dyDescent="0.25">
      <c r="A29" s="120" t="s">
        <v>215</v>
      </c>
      <c r="B29" s="4" t="s">
        <v>23</v>
      </c>
      <c r="C29" s="7" t="s">
        <v>43</v>
      </c>
      <c r="D29" s="114" t="s">
        <v>209</v>
      </c>
      <c r="E29" s="113">
        <v>28.2669305517583</v>
      </c>
    </row>
    <row r="30" spans="1:9" x14ac:dyDescent="0.25">
      <c r="A30" s="120" t="s">
        <v>215</v>
      </c>
      <c r="B30" s="4" t="s">
        <v>23</v>
      </c>
      <c r="C30" s="7" t="s">
        <v>43</v>
      </c>
      <c r="D30" s="114" t="s">
        <v>210</v>
      </c>
      <c r="E30" s="113">
        <v>16.855633678114948</v>
      </c>
    </row>
    <row r="31" spans="1:9" x14ac:dyDescent="0.25">
      <c r="A31" s="120" t="s">
        <v>215</v>
      </c>
      <c r="B31" s="4" t="s">
        <v>23</v>
      </c>
      <c r="C31" s="7" t="s">
        <v>43</v>
      </c>
      <c r="D31" s="114" t="s">
        <v>211</v>
      </c>
      <c r="E31" s="113">
        <v>29.438856248887049</v>
      </c>
    </row>
    <row r="32" spans="1:9" x14ac:dyDescent="0.25">
      <c r="A32" s="120" t="s">
        <v>215</v>
      </c>
      <c r="B32" s="4" t="s">
        <v>23</v>
      </c>
      <c r="C32" s="7" t="s">
        <v>43</v>
      </c>
      <c r="D32" s="114" t="s">
        <v>209</v>
      </c>
      <c r="E32" s="113">
        <v>23.982911515385048</v>
      </c>
    </row>
    <row r="33" spans="1:5" x14ac:dyDescent="0.25">
      <c r="A33" s="120" t="s">
        <v>215</v>
      </c>
      <c r="B33" s="4" t="s">
        <v>23</v>
      </c>
      <c r="C33" s="7" t="s">
        <v>43</v>
      </c>
      <c r="D33" s="114" t="s">
        <v>210</v>
      </c>
      <c r="E33" s="113">
        <v>16.697974555715298</v>
      </c>
    </row>
    <row r="34" spans="1:5" x14ac:dyDescent="0.25">
      <c r="A34" s="120" t="s">
        <v>215</v>
      </c>
      <c r="B34" s="4" t="s">
        <v>23</v>
      </c>
      <c r="C34" s="7" t="s">
        <v>43</v>
      </c>
      <c r="D34" s="114" t="s">
        <v>211</v>
      </c>
      <c r="E34" s="113">
        <v>27.7908766807356</v>
      </c>
    </row>
    <row r="35" spans="1:5" x14ac:dyDescent="0.25">
      <c r="A35" s="120" t="s">
        <v>215</v>
      </c>
      <c r="B35" s="4" t="s">
        <v>23</v>
      </c>
      <c r="C35" s="7" t="s">
        <v>43</v>
      </c>
      <c r="D35" s="114" t="s">
        <v>209</v>
      </c>
      <c r="E35" s="113">
        <v>26.548404277795051</v>
      </c>
    </row>
    <row r="36" spans="1:5" x14ac:dyDescent="0.25">
      <c r="A36" s="120" t="s">
        <v>215</v>
      </c>
      <c r="B36" s="4" t="s">
        <v>23</v>
      </c>
      <c r="C36" s="7" t="s">
        <v>43</v>
      </c>
      <c r="D36" s="114" t="s">
        <v>210</v>
      </c>
      <c r="E36" s="113">
        <v>18.4863541190423</v>
      </c>
    </row>
    <row r="37" spans="1:5" x14ac:dyDescent="0.25">
      <c r="A37" s="120" t="s">
        <v>215</v>
      </c>
      <c r="B37" s="4" t="s">
        <v>23</v>
      </c>
      <c r="C37" s="7" t="s">
        <v>43</v>
      </c>
      <c r="D37" s="114" t="s">
        <v>211</v>
      </c>
      <c r="E37" s="113">
        <v>25.892402260330449</v>
      </c>
    </row>
    <row r="38" spans="1:5" x14ac:dyDescent="0.25">
      <c r="A38" s="120" t="s">
        <v>215</v>
      </c>
      <c r="B38" s="3" t="s">
        <v>33</v>
      </c>
      <c r="C38" s="6" t="s">
        <v>11</v>
      </c>
      <c r="D38" s="114" t="s">
        <v>209</v>
      </c>
      <c r="E38" s="113">
        <v>22.10469419349235</v>
      </c>
    </row>
    <row r="39" spans="1:5" x14ac:dyDescent="0.25">
      <c r="A39" s="120" t="s">
        <v>215</v>
      </c>
      <c r="B39" s="3" t="s">
        <v>33</v>
      </c>
      <c r="C39" s="6" t="s">
        <v>11</v>
      </c>
      <c r="D39" s="114" t="s">
        <v>210</v>
      </c>
      <c r="E39" s="113">
        <v>17.029067984885749</v>
      </c>
    </row>
    <row r="40" spans="1:5" x14ac:dyDescent="0.25">
      <c r="A40" s="120" t="s">
        <v>215</v>
      </c>
      <c r="B40" s="3" t="s">
        <v>33</v>
      </c>
      <c r="C40" s="6" t="s">
        <v>11</v>
      </c>
      <c r="D40" s="114" t="s">
        <v>211</v>
      </c>
      <c r="E40" s="113">
        <v>23.815319701060101</v>
      </c>
    </row>
    <row r="41" spans="1:5" x14ac:dyDescent="0.25">
      <c r="A41" s="120" t="s">
        <v>215</v>
      </c>
      <c r="B41" s="3" t="s">
        <v>33</v>
      </c>
      <c r="C41" s="6" t="s">
        <v>11</v>
      </c>
      <c r="D41" s="114" t="s">
        <v>209</v>
      </c>
      <c r="E41" s="113">
        <v>26.631454411079599</v>
      </c>
    </row>
    <row r="42" spans="1:5" x14ac:dyDescent="0.25">
      <c r="A42" s="120" t="s">
        <v>215</v>
      </c>
      <c r="B42" s="3" t="s">
        <v>33</v>
      </c>
      <c r="C42" s="6" t="s">
        <v>11</v>
      </c>
      <c r="D42" s="114" t="s">
        <v>210</v>
      </c>
      <c r="E42" s="113">
        <v>17.573931711155801</v>
      </c>
    </row>
    <row r="43" spans="1:5" x14ac:dyDescent="0.25">
      <c r="A43" s="120" t="s">
        <v>215</v>
      </c>
      <c r="B43" s="3" t="s">
        <v>33</v>
      </c>
      <c r="C43" s="6" t="s">
        <v>11</v>
      </c>
      <c r="D43" s="114" t="s">
        <v>211</v>
      </c>
      <c r="E43" s="113">
        <v>20.723406357806049</v>
      </c>
    </row>
    <row r="44" spans="1:5" x14ac:dyDescent="0.25">
      <c r="A44" s="120" t="s">
        <v>215</v>
      </c>
      <c r="B44" s="3" t="s">
        <v>33</v>
      </c>
      <c r="C44" s="6" t="s">
        <v>11</v>
      </c>
      <c r="D44" s="114" t="s">
        <v>209</v>
      </c>
      <c r="E44" s="113">
        <v>21.619429508129649</v>
      </c>
    </row>
    <row r="45" spans="1:5" x14ac:dyDescent="0.25">
      <c r="A45" s="120" t="s">
        <v>215</v>
      </c>
      <c r="B45" s="3" t="s">
        <v>33</v>
      </c>
      <c r="C45" s="6" t="s">
        <v>11</v>
      </c>
      <c r="D45" s="114" t="s">
        <v>210</v>
      </c>
      <c r="E45" s="113">
        <v>25.1802705031924</v>
      </c>
    </row>
    <row r="46" spans="1:5" x14ac:dyDescent="0.25">
      <c r="A46" s="120" t="s">
        <v>215</v>
      </c>
      <c r="B46" s="3" t="s">
        <v>33</v>
      </c>
      <c r="C46" s="6" t="s">
        <v>11</v>
      </c>
      <c r="D46" s="114" t="s">
        <v>211</v>
      </c>
      <c r="E46" s="113">
        <v>25.9301269387832</v>
      </c>
    </row>
    <row r="47" spans="1:5" x14ac:dyDescent="0.25">
      <c r="A47" s="120" t="s">
        <v>215</v>
      </c>
      <c r="B47" s="3" t="s">
        <v>33</v>
      </c>
      <c r="C47" s="7" t="s">
        <v>43</v>
      </c>
      <c r="D47" s="114" t="s">
        <v>209</v>
      </c>
      <c r="E47" s="113">
        <v>21.2684064435816</v>
      </c>
    </row>
    <row r="48" spans="1:5" x14ac:dyDescent="0.25">
      <c r="A48" s="120" t="s">
        <v>215</v>
      </c>
      <c r="B48" s="3" t="s">
        <v>33</v>
      </c>
      <c r="C48" s="7" t="s">
        <v>43</v>
      </c>
      <c r="D48" s="114" t="s">
        <v>210</v>
      </c>
      <c r="E48" s="113">
        <v>14.315032731328198</v>
      </c>
    </row>
    <row r="49" spans="1:5" x14ac:dyDescent="0.25">
      <c r="A49" s="120" t="s">
        <v>215</v>
      </c>
      <c r="B49" s="3" t="s">
        <v>33</v>
      </c>
      <c r="C49" s="7" t="s">
        <v>43</v>
      </c>
      <c r="D49" s="114" t="s">
        <v>211</v>
      </c>
      <c r="E49" s="113">
        <v>23.850102190904749</v>
      </c>
    </row>
    <row r="50" spans="1:5" x14ac:dyDescent="0.25">
      <c r="A50" s="120" t="s">
        <v>215</v>
      </c>
      <c r="B50" s="3" t="s">
        <v>33</v>
      </c>
      <c r="C50" s="7" t="s">
        <v>43</v>
      </c>
      <c r="D50" s="114" t="s">
        <v>209</v>
      </c>
      <c r="E50" s="113">
        <v>22.7315854191338</v>
      </c>
    </row>
    <row r="51" spans="1:5" x14ac:dyDescent="0.25">
      <c r="A51" s="120" t="s">
        <v>215</v>
      </c>
      <c r="B51" s="3" t="s">
        <v>33</v>
      </c>
      <c r="C51" s="7" t="s">
        <v>43</v>
      </c>
      <c r="D51" s="114" t="s">
        <v>210</v>
      </c>
      <c r="E51" s="113">
        <v>15.370422276535351</v>
      </c>
    </row>
    <row r="52" spans="1:5" x14ac:dyDescent="0.25">
      <c r="A52" s="120" t="s">
        <v>215</v>
      </c>
      <c r="B52" s="3" t="s">
        <v>33</v>
      </c>
      <c r="C52" s="7" t="s">
        <v>43</v>
      </c>
      <c r="D52" s="114" t="s">
        <v>211</v>
      </c>
      <c r="E52" s="113">
        <v>19.984183837235051</v>
      </c>
    </row>
    <row r="53" spans="1:5" x14ac:dyDescent="0.25">
      <c r="A53" s="120" t="s">
        <v>215</v>
      </c>
      <c r="B53" s="3" t="s">
        <v>33</v>
      </c>
      <c r="C53" s="7" t="s">
        <v>43</v>
      </c>
      <c r="D53" s="114" t="s">
        <v>209</v>
      </c>
      <c r="E53" s="113">
        <v>17.776617007435902</v>
      </c>
    </row>
    <row r="54" spans="1:5" x14ac:dyDescent="0.25">
      <c r="A54" s="120" t="s">
        <v>215</v>
      </c>
      <c r="B54" s="3" t="s">
        <v>33</v>
      </c>
      <c r="C54" s="7" t="s">
        <v>43</v>
      </c>
      <c r="D54" s="114" t="s">
        <v>210</v>
      </c>
      <c r="E54" s="113">
        <v>15.7806863753509</v>
      </c>
    </row>
    <row r="55" spans="1:5" x14ac:dyDescent="0.25">
      <c r="A55" s="121" t="s">
        <v>215</v>
      </c>
      <c r="B55" s="108" t="s">
        <v>33</v>
      </c>
      <c r="C55" s="104" t="s">
        <v>43</v>
      </c>
      <c r="D55" s="115" t="s">
        <v>211</v>
      </c>
      <c r="E55" s="116">
        <v>20.240866409671952</v>
      </c>
    </row>
    <row r="56" spans="1:5" x14ac:dyDescent="0.25">
      <c r="A56" s="107" t="s">
        <v>216</v>
      </c>
      <c r="B56" s="105" t="s">
        <v>10</v>
      </c>
      <c r="C56" s="103" t="s">
        <v>11</v>
      </c>
      <c r="D56" s="112" t="s">
        <v>209</v>
      </c>
      <c r="E56" s="113">
        <v>22.248228829350801</v>
      </c>
    </row>
    <row r="57" spans="1:5" x14ac:dyDescent="0.25">
      <c r="A57" s="107" t="s">
        <v>216</v>
      </c>
      <c r="B57" s="5" t="s">
        <v>10</v>
      </c>
      <c r="C57" s="6" t="s">
        <v>11</v>
      </c>
      <c r="D57" s="114" t="s">
        <v>210</v>
      </c>
      <c r="E57" s="113">
        <v>17.074513499629752</v>
      </c>
    </row>
    <row r="58" spans="1:5" x14ac:dyDescent="0.25">
      <c r="A58" s="107" t="s">
        <v>216</v>
      </c>
      <c r="B58" s="5" t="s">
        <v>10</v>
      </c>
      <c r="C58" s="6" t="s">
        <v>11</v>
      </c>
      <c r="D58" s="114" t="s">
        <v>211</v>
      </c>
      <c r="E58" s="113">
        <v>23.528551841024452</v>
      </c>
    </row>
    <row r="59" spans="1:5" x14ac:dyDescent="0.25">
      <c r="A59" s="107" t="s">
        <v>216</v>
      </c>
      <c r="B59" s="5" t="s">
        <v>10</v>
      </c>
      <c r="C59" s="6" t="s">
        <v>11</v>
      </c>
      <c r="D59" s="114" t="s">
        <v>209</v>
      </c>
      <c r="E59" s="113">
        <v>20.35358997339625</v>
      </c>
    </row>
    <row r="60" spans="1:5" x14ac:dyDescent="0.25">
      <c r="A60" s="107" t="s">
        <v>216</v>
      </c>
      <c r="B60" s="5" t="s">
        <v>10</v>
      </c>
      <c r="C60" s="6" t="s">
        <v>11</v>
      </c>
      <c r="D60" s="114" t="s">
        <v>210</v>
      </c>
      <c r="E60" s="113">
        <v>16.303785126328052</v>
      </c>
    </row>
    <row r="61" spans="1:5" x14ac:dyDescent="0.25">
      <c r="A61" s="107" t="s">
        <v>216</v>
      </c>
      <c r="B61" s="5" t="s">
        <v>10</v>
      </c>
      <c r="C61" s="6" t="s">
        <v>11</v>
      </c>
      <c r="D61" s="114" t="s">
        <v>211</v>
      </c>
      <c r="E61" s="113">
        <v>26.663482199999748</v>
      </c>
    </row>
    <row r="62" spans="1:5" x14ac:dyDescent="0.25">
      <c r="A62" s="107" t="s">
        <v>216</v>
      </c>
      <c r="B62" s="5" t="s">
        <v>10</v>
      </c>
      <c r="C62" s="6" t="s">
        <v>11</v>
      </c>
      <c r="D62" s="114" t="s">
        <v>209</v>
      </c>
      <c r="E62" s="113">
        <v>25.7816754513183</v>
      </c>
    </row>
    <row r="63" spans="1:5" x14ac:dyDescent="0.25">
      <c r="A63" s="107" t="s">
        <v>216</v>
      </c>
      <c r="B63" s="5" t="s">
        <v>10</v>
      </c>
      <c r="C63" s="6" t="s">
        <v>11</v>
      </c>
      <c r="D63" s="114" t="s">
        <v>210</v>
      </c>
      <c r="E63" s="113">
        <v>17.315194336082801</v>
      </c>
    </row>
    <row r="64" spans="1:5" x14ac:dyDescent="0.25">
      <c r="A64" s="107" t="s">
        <v>216</v>
      </c>
      <c r="B64" s="5" t="s">
        <v>10</v>
      </c>
      <c r="C64" s="6" t="s">
        <v>11</v>
      </c>
      <c r="D64" s="114" t="s">
        <v>211</v>
      </c>
      <c r="E64" s="113">
        <v>26.0620297618451</v>
      </c>
    </row>
    <row r="65" spans="1:5" x14ac:dyDescent="0.25">
      <c r="A65" s="107" t="s">
        <v>216</v>
      </c>
      <c r="B65" s="5" t="s">
        <v>10</v>
      </c>
      <c r="C65" s="7" t="s">
        <v>43</v>
      </c>
      <c r="D65" s="114" t="s">
        <v>209</v>
      </c>
      <c r="E65" s="113">
        <v>20.334045085815802</v>
      </c>
    </row>
    <row r="66" spans="1:5" x14ac:dyDescent="0.25">
      <c r="A66" s="107" t="s">
        <v>216</v>
      </c>
      <c r="B66" s="5" t="s">
        <v>10</v>
      </c>
      <c r="C66" s="7" t="s">
        <v>43</v>
      </c>
      <c r="D66" s="114" t="s">
        <v>210</v>
      </c>
      <c r="E66" s="113">
        <v>14.816427787677249</v>
      </c>
    </row>
    <row r="67" spans="1:5" x14ac:dyDescent="0.25">
      <c r="A67" s="107" t="s">
        <v>216</v>
      </c>
      <c r="B67" s="5" t="s">
        <v>10</v>
      </c>
      <c r="C67" s="7" t="s">
        <v>43</v>
      </c>
      <c r="D67" s="114" t="s">
        <v>211</v>
      </c>
      <c r="E67" s="113">
        <v>21.53390827043545</v>
      </c>
    </row>
    <row r="68" spans="1:5" x14ac:dyDescent="0.25">
      <c r="A68" s="107" t="s">
        <v>216</v>
      </c>
      <c r="B68" s="5" t="s">
        <v>10</v>
      </c>
      <c r="C68" s="7" t="s">
        <v>43</v>
      </c>
      <c r="D68" s="114" t="s">
        <v>209</v>
      </c>
      <c r="E68" s="113">
        <v>21.251122104137899</v>
      </c>
    </row>
    <row r="69" spans="1:5" x14ac:dyDescent="0.25">
      <c r="A69" s="107" t="s">
        <v>216</v>
      </c>
      <c r="B69" s="5" t="s">
        <v>10</v>
      </c>
      <c r="C69" s="7" t="s">
        <v>43</v>
      </c>
      <c r="D69" s="114" t="s">
        <v>210</v>
      </c>
      <c r="E69" s="113">
        <v>16.36612449698675</v>
      </c>
    </row>
    <row r="70" spans="1:5" x14ac:dyDescent="0.25">
      <c r="A70" s="107" t="s">
        <v>216</v>
      </c>
      <c r="B70" s="5" t="s">
        <v>10</v>
      </c>
      <c r="C70" s="7" t="s">
        <v>43</v>
      </c>
      <c r="D70" s="114" t="s">
        <v>211</v>
      </c>
      <c r="E70" s="113">
        <v>28.140961821824497</v>
      </c>
    </row>
    <row r="71" spans="1:5" x14ac:dyDescent="0.25">
      <c r="A71" s="107" t="s">
        <v>216</v>
      </c>
      <c r="B71" s="5" t="s">
        <v>10</v>
      </c>
      <c r="C71" s="7" t="s">
        <v>43</v>
      </c>
      <c r="D71" s="114" t="s">
        <v>209</v>
      </c>
      <c r="E71" s="113">
        <v>31.843000209578499</v>
      </c>
    </row>
    <row r="72" spans="1:5" x14ac:dyDescent="0.25">
      <c r="A72" s="107" t="s">
        <v>216</v>
      </c>
      <c r="B72" s="5" t="s">
        <v>10</v>
      </c>
      <c r="C72" s="7" t="s">
        <v>43</v>
      </c>
      <c r="D72" s="114" t="s">
        <v>210</v>
      </c>
      <c r="E72" s="113">
        <v>24.139893690359251</v>
      </c>
    </row>
    <row r="73" spans="1:5" x14ac:dyDescent="0.25">
      <c r="A73" s="107" t="s">
        <v>216</v>
      </c>
      <c r="B73" s="5" t="s">
        <v>10</v>
      </c>
      <c r="C73" s="7" t="s">
        <v>43</v>
      </c>
      <c r="D73" s="114" t="s">
        <v>211</v>
      </c>
      <c r="E73" s="113">
        <v>27.893072374199399</v>
      </c>
    </row>
    <row r="74" spans="1:5" x14ac:dyDescent="0.25">
      <c r="A74" s="107" t="s">
        <v>216</v>
      </c>
      <c r="B74" s="4" t="s">
        <v>23</v>
      </c>
      <c r="C74" s="6" t="s">
        <v>11</v>
      </c>
      <c r="D74" s="114" t="s">
        <v>209</v>
      </c>
      <c r="E74" s="113">
        <v>24.667399313308351</v>
      </c>
    </row>
    <row r="75" spans="1:5" x14ac:dyDescent="0.25">
      <c r="A75" s="107" t="s">
        <v>216</v>
      </c>
      <c r="B75" s="4" t="s">
        <v>23</v>
      </c>
      <c r="C75" s="6" t="s">
        <v>11</v>
      </c>
      <c r="D75" s="114" t="s">
        <v>210</v>
      </c>
      <c r="E75" s="113">
        <v>16.139633439934649</v>
      </c>
    </row>
    <row r="76" spans="1:5" x14ac:dyDescent="0.25">
      <c r="A76" s="107" t="s">
        <v>216</v>
      </c>
      <c r="B76" s="4" t="s">
        <v>23</v>
      </c>
      <c r="C76" s="6" t="s">
        <v>11</v>
      </c>
      <c r="D76" s="114" t="s">
        <v>211</v>
      </c>
      <c r="E76" s="113">
        <v>25.435337097366549</v>
      </c>
    </row>
    <row r="77" spans="1:5" x14ac:dyDescent="0.25">
      <c r="A77" s="107" t="s">
        <v>216</v>
      </c>
      <c r="B77" s="4" t="s">
        <v>23</v>
      </c>
      <c r="C77" s="6" t="s">
        <v>11</v>
      </c>
      <c r="D77" s="114" t="s">
        <v>209</v>
      </c>
      <c r="E77" s="113">
        <v>20.163566099647802</v>
      </c>
    </row>
    <row r="78" spans="1:5" x14ac:dyDescent="0.25">
      <c r="A78" s="107" t="s">
        <v>216</v>
      </c>
      <c r="B78" s="4" t="s">
        <v>23</v>
      </c>
      <c r="C78" s="6" t="s">
        <v>11</v>
      </c>
      <c r="D78" s="114" t="s">
        <v>210</v>
      </c>
      <c r="E78" s="113">
        <v>14.98608012574705</v>
      </c>
    </row>
    <row r="79" spans="1:5" x14ac:dyDescent="0.25">
      <c r="A79" s="107" t="s">
        <v>216</v>
      </c>
      <c r="B79" s="4" t="s">
        <v>23</v>
      </c>
      <c r="C79" s="6" t="s">
        <v>11</v>
      </c>
      <c r="D79" s="114" t="s">
        <v>211</v>
      </c>
      <c r="E79" s="113">
        <v>25.594712197500549</v>
      </c>
    </row>
    <row r="80" spans="1:5" x14ac:dyDescent="0.25">
      <c r="A80" s="107" t="s">
        <v>216</v>
      </c>
      <c r="B80" s="4" t="s">
        <v>23</v>
      </c>
      <c r="C80" s="6" t="s">
        <v>11</v>
      </c>
      <c r="D80" s="114" t="s">
        <v>209</v>
      </c>
      <c r="E80" s="113">
        <v>22.8539108344137</v>
      </c>
    </row>
    <row r="81" spans="1:5" x14ac:dyDescent="0.25">
      <c r="A81" s="107" t="s">
        <v>216</v>
      </c>
      <c r="B81" s="4" t="s">
        <v>23</v>
      </c>
      <c r="C81" s="6" t="s">
        <v>11</v>
      </c>
      <c r="D81" s="114" t="s">
        <v>210</v>
      </c>
      <c r="E81" s="113">
        <v>15.5898409876357</v>
      </c>
    </row>
    <row r="82" spans="1:5" x14ac:dyDescent="0.25">
      <c r="A82" s="107" t="s">
        <v>216</v>
      </c>
      <c r="B82" s="4" t="s">
        <v>23</v>
      </c>
      <c r="C82" s="6" t="s">
        <v>11</v>
      </c>
      <c r="D82" s="114" t="s">
        <v>211</v>
      </c>
      <c r="E82" s="113">
        <v>24.639921528181901</v>
      </c>
    </row>
    <row r="83" spans="1:5" x14ac:dyDescent="0.25">
      <c r="A83" s="107" t="s">
        <v>216</v>
      </c>
      <c r="B83" s="4" t="s">
        <v>23</v>
      </c>
      <c r="C83" s="7" t="s">
        <v>43</v>
      </c>
      <c r="D83" s="114" t="s">
        <v>209</v>
      </c>
      <c r="E83" s="113">
        <v>29.771992665583198</v>
      </c>
    </row>
    <row r="84" spans="1:5" x14ac:dyDescent="0.25">
      <c r="A84" s="107" t="s">
        <v>216</v>
      </c>
      <c r="B84" s="4" t="s">
        <v>23</v>
      </c>
      <c r="C84" s="7" t="s">
        <v>43</v>
      </c>
      <c r="D84" s="114" t="s">
        <v>210</v>
      </c>
      <c r="E84" s="113">
        <v>17.799952778759703</v>
      </c>
    </row>
    <row r="85" spans="1:5" x14ac:dyDescent="0.25">
      <c r="A85" s="107" t="s">
        <v>216</v>
      </c>
      <c r="B85" s="4" t="s">
        <v>23</v>
      </c>
      <c r="C85" s="7" t="s">
        <v>43</v>
      </c>
      <c r="D85" s="114" t="s">
        <v>211</v>
      </c>
      <c r="E85" s="113">
        <v>31.0996520715331</v>
      </c>
    </row>
    <row r="86" spans="1:5" x14ac:dyDescent="0.25">
      <c r="A86" s="107" t="s">
        <v>216</v>
      </c>
      <c r="B86" s="4" t="s">
        <v>23</v>
      </c>
      <c r="C86" s="7" t="s">
        <v>43</v>
      </c>
      <c r="D86" s="114" t="s">
        <v>209</v>
      </c>
      <c r="E86" s="113">
        <v>23.174025608885</v>
      </c>
    </row>
    <row r="87" spans="1:5" x14ac:dyDescent="0.25">
      <c r="A87" s="107" t="s">
        <v>216</v>
      </c>
      <c r="B87" s="4" t="s">
        <v>23</v>
      </c>
      <c r="C87" s="7" t="s">
        <v>43</v>
      </c>
      <c r="D87" s="114" t="s">
        <v>210</v>
      </c>
      <c r="E87" s="113">
        <v>18.992900645421898</v>
      </c>
    </row>
    <row r="88" spans="1:5" x14ac:dyDescent="0.25">
      <c r="A88" s="107" t="s">
        <v>216</v>
      </c>
      <c r="B88" s="4" t="s">
        <v>23</v>
      </c>
      <c r="C88" s="7" t="s">
        <v>43</v>
      </c>
      <c r="D88" s="114" t="s">
        <v>211</v>
      </c>
      <c r="E88" s="113">
        <v>29.024147999272948</v>
      </c>
    </row>
    <row r="89" spans="1:5" x14ac:dyDescent="0.25">
      <c r="A89" s="107" t="s">
        <v>216</v>
      </c>
      <c r="B89" s="4" t="s">
        <v>23</v>
      </c>
      <c r="C89" s="7" t="s">
        <v>43</v>
      </c>
      <c r="D89" s="114" t="s">
        <v>209</v>
      </c>
      <c r="E89" s="113">
        <v>28.907664489701901</v>
      </c>
    </row>
    <row r="90" spans="1:5" x14ac:dyDescent="0.25">
      <c r="A90" s="107" t="s">
        <v>216</v>
      </c>
      <c r="B90" s="4" t="s">
        <v>23</v>
      </c>
      <c r="C90" s="7" t="s">
        <v>43</v>
      </c>
      <c r="D90" s="114" t="s">
        <v>210</v>
      </c>
      <c r="E90" s="113">
        <v>18.280240415552647</v>
      </c>
    </row>
    <row r="91" spans="1:5" x14ac:dyDescent="0.25">
      <c r="A91" s="107" t="s">
        <v>216</v>
      </c>
      <c r="B91" s="4" t="s">
        <v>23</v>
      </c>
      <c r="C91" s="7" t="s">
        <v>43</v>
      </c>
      <c r="D91" s="114" t="s">
        <v>211</v>
      </c>
      <c r="E91" s="113">
        <v>25.953586402124451</v>
      </c>
    </row>
    <row r="92" spans="1:5" x14ac:dyDescent="0.25">
      <c r="A92" s="107" t="s">
        <v>216</v>
      </c>
      <c r="B92" s="3" t="s">
        <v>33</v>
      </c>
      <c r="C92" s="6" t="s">
        <v>11</v>
      </c>
      <c r="D92" s="114" t="s">
        <v>209</v>
      </c>
      <c r="E92" s="113">
        <v>22.648264429471197</v>
      </c>
    </row>
    <row r="93" spans="1:5" x14ac:dyDescent="0.25">
      <c r="A93" s="107" t="s">
        <v>216</v>
      </c>
      <c r="B93" s="3" t="s">
        <v>33</v>
      </c>
      <c r="C93" s="6" t="s">
        <v>11</v>
      </c>
      <c r="D93" s="114" t="s">
        <v>210</v>
      </c>
      <c r="E93" s="113">
        <v>20.609978082701502</v>
      </c>
    </row>
    <row r="94" spans="1:5" x14ac:dyDescent="0.25">
      <c r="A94" s="107" t="s">
        <v>216</v>
      </c>
      <c r="B94" s="3" t="s">
        <v>33</v>
      </c>
      <c r="C94" s="6" t="s">
        <v>11</v>
      </c>
      <c r="D94" s="114" t="s">
        <v>211</v>
      </c>
      <c r="E94" s="113">
        <v>25.938747481368349</v>
      </c>
    </row>
    <row r="95" spans="1:5" x14ac:dyDescent="0.25">
      <c r="A95" s="107" t="s">
        <v>216</v>
      </c>
      <c r="B95" s="3" t="s">
        <v>33</v>
      </c>
      <c r="C95" s="6" t="s">
        <v>11</v>
      </c>
      <c r="D95" s="114" t="s">
        <v>209</v>
      </c>
      <c r="E95" s="113">
        <v>20.685084937546748</v>
      </c>
    </row>
    <row r="96" spans="1:5" x14ac:dyDescent="0.25">
      <c r="A96" s="107" t="s">
        <v>216</v>
      </c>
      <c r="B96" s="3" t="s">
        <v>33</v>
      </c>
      <c r="C96" s="6" t="s">
        <v>11</v>
      </c>
      <c r="D96" s="114" t="s">
        <v>210</v>
      </c>
      <c r="E96" s="113">
        <v>16.315130029245402</v>
      </c>
    </row>
    <row r="97" spans="1:5" x14ac:dyDescent="0.25">
      <c r="A97" s="107" t="s">
        <v>216</v>
      </c>
      <c r="B97" s="3" t="s">
        <v>33</v>
      </c>
      <c r="C97" s="6" t="s">
        <v>11</v>
      </c>
      <c r="D97" s="114" t="s">
        <v>211</v>
      </c>
      <c r="E97" s="113">
        <v>29.62793388247945</v>
      </c>
    </row>
    <row r="98" spans="1:5" x14ac:dyDescent="0.25">
      <c r="A98" s="107" t="s">
        <v>216</v>
      </c>
      <c r="B98" s="3" t="s">
        <v>33</v>
      </c>
      <c r="C98" s="6" t="s">
        <v>11</v>
      </c>
      <c r="D98" s="114" t="s">
        <v>209</v>
      </c>
      <c r="E98" s="113">
        <v>21.821769898135951</v>
      </c>
    </row>
    <row r="99" spans="1:5" x14ac:dyDescent="0.25">
      <c r="A99" s="107" t="s">
        <v>216</v>
      </c>
      <c r="B99" s="3" t="s">
        <v>33</v>
      </c>
      <c r="C99" s="6" t="s">
        <v>11</v>
      </c>
      <c r="D99" s="114" t="s">
        <v>210</v>
      </c>
      <c r="E99" s="113">
        <v>25.112721034073552</v>
      </c>
    </row>
    <row r="100" spans="1:5" x14ac:dyDescent="0.25">
      <c r="A100" s="107" t="s">
        <v>216</v>
      </c>
      <c r="B100" s="3" t="s">
        <v>33</v>
      </c>
      <c r="C100" s="6" t="s">
        <v>11</v>
      </c>
      <c r="D100" s="114" t="s">
        <v>211</v>
      </c>
      <c r="E100" s="113">
        <v>25.969592575193303</v>
      </c>
    </row>
    <row r="101" spans="1:5" x14ac:dyDescent="0.25">
      <c r="A101" s="107" t="s">
        <v>216</v>
      </c>
      <c r="B101" s="3" t="s">
        <v>33</v>
      </c>
      <c r="C101" s="7" t="s">
        <v>43</v>
      </c>
      <c r="D101" s="114" t="s">
        <v>209</v>
      </c>
      <c r="E101" s="113">
        <v>23.511487099061398</v>
      </c>
    </row>
    <row r="102" spans="1:5" x14ac:dyDescent="0.25">
      <c r="A102" s="107" t="s">
        <v>216</v>
      </c>
      <c r="B102" s="3" t="s">
        <v>33</v>
      </c>
      <c r="C102" s="7" t="s">
        <v>43</v>
      </c>
      <c r="D102" s="114" t="s">
        <v>210</v>
      </c>
      <c r="E102" s="113">
        <v>16.1054553559784</v>
      </c>
    </row>
    <row r="103" spans="1:5" x14ac:dyDescent="0.25">
      <c r="A103" s="107" t="s">
        <v>216</v>
      </c>
      <c r="B103" s="3" t="s">
        <v>33</v>
      </c>
      <c r="C103" s="7" t="s">
        <v>43</v>
      </c>
      <c r="D103" s="114" t="s">
        <v>211</v>
      </c>
      <c r="E103" s="113">
        <v>24.200723734864049</v>
      </c>
    </row>
    <row r="104" spans="1:5" x14ac:dyDescent="0.25">
      <c r="A104" s="107" t="s">
        <v>216</v>
      </c>
      <c r="B104" s="3" t="s">
        <v>33</v>
      </c>
      <c r="C104" s="7" t="s">
        <v>43</v>
      </c>
      <c r="D104" s="114" t="s">
        <v>209</v>
      </c>
      <c r="E104" s="113">
        <v>22.411345884458349</v>
      </c>
    </row>
    <row r="105" spans="1:5" x14ac:dyDescent="0.25">
      <c r="A105" s="107" t="s">
        <v>216</v>
      </c>
      <c r="B105" s="3" t="s">
        <v>33</v>
      </c>
      <c r="C105" s="7" t="s">
        <v>43</v>
      </c>
      <c r="D105" s="114" t="s">
        <v>210</v>
      </c>
      <c r="E105" s="113">
        <v>15.60370562079455</v>
      </c>
    </row>
    <row r="106" spans="1:5" x14ac:dyDescent="0.25">
      <c r="A106" s="107" t="s">
        <v>216</v>
      </c>
      <c r="B106" s="3" t="s">
        <v>33</v>
      </c>
      <c r="C106" s="7" t="s">
        <v>43</v>
      </c>
      <c r="D106" s="114" t="s">
        <v>211</v>
      </c>
      <c r="E106" s="113">
        <v>20.062782862115199</v>
      </c>
    </row>
    <row r="107" spans="1:5" x14ac:dyDescent="0.25">
      <c r="A107" s="107" t="s">
        <v>216</v>
      </c>
      <c r="B107" s="3" t="s">
        <v>33</v>
      </c>
      <c r="C107" s="7" t="s">
        <v>43</v>
      </c>
      <c r="D107" s="114" t="s">
        <v>209</v>
      </c>
      <c r="E107" s="113">
        <v>17.681129998281751</v>
      </c>
    </row>
    <row r="108" spans="1:5" x14ac:dyDescent="0.25">
      <c r="A108" s="107" t="s">
        <v>216</v>
      </c>
      <c r="B108" s="3" t="s">
        <v>33</v>
      </c>
      <c r="C108" s="7" t="s">
        <v>43</v>
      </c>
      <c r="D108" s="114" t="s">
        <v>210</v>
      </c>
      <c r="E108" s="113">
        <v>14.83690109185545</v>
      </c>
    </row>
    <row r="109" spans="1:5" x14ac:dyDescent="0.25">
      <c r="A109" s="107" t="s">
        <v>216</v>
      </c>
      <c r="B109" s="3" t="s">
        <v>33</v>
      </c>
      <c r="C109" s="7" t="s">
        <v>43</v>
      </c>
      <c r="D109" s="114" t="s">
        <v>211</v>
      </c>
      <c r="E109" s="116">
        <v>20.8230599760189</v>
      </c>
    </row>
    <row r="110" spans="1:5" x14ac:dyDescent="0.25">
      <c r="A110" s="106" t="s">
        <v>217</v>
      </c>
      <c r="B110" s="105" t="s">
        <v>10</v>
      </c>
      <c r="C110" s="103" t="s">
        <v>11</v>
      </c>
      <c r="D110" s="112" t="s">
        <v>209</v>
      </c>
      <c r="E110" s="113">
        <v>22.294818925239401</v>
      </c>
    </row>
    <row r="111" spans="1:5" x14ac:dyDescent="0.25">
      <c r="A111" s="107" t="s">
        <v>217</v>
      </c>
      <c r="B111" s="5" t="s">
        <v>10</v>
      </c>
      <c r="C111" s="6" t="s">
        <v>11</v>
      </c>
      <c r="D111" s="114" t="s">
        <v>210</v>
      </c>
      <c r="E111" s="113">
        <v>18.1432354975625</v>
      </c>
    </row>
    <row r="112" spans="1:5" x14ac:dyDescent="0.25">
      <c r="A112" s="107" t="s">
        <v>217</v>
      </c>
      <c r="B112" s="5" t="s">
        <v>10</v>
      </c>
      <c r="C112" s="6" t="s">
        <v>11</v>
      </c>
      <c r="D112" s="114" t="s">
        <v>211</v>
      </c>
      <c r="E112" s="113">
        <v>26.503890295776948</v>
      </c>
    </row>
    <row r="113" spans="1:5" x14ac:dyDescent="0.25">
      <c r="A113" s="107" t="s">
        <v>217</v>
      </c>
      <c r="B113" s="5" t="s">
        <v>10</v>
      </c>
      <c r="C113" s="6" t="s">
        <v>11</v>
      </c>
      <c r="D113" s="114" t="s">
        <v>209</v>
      </c>
      <c r="E113" s="113">
        <v>20.564129127451551</v>
      </c>
    </row>
    <row r="114" spans="1:5" x14ac:dyDescent="0.25">
      <c r="A114" s="107" t="s">
        <v>217</v>
      </c>
      <c r="B114" s="5" t="s">
        <v>10</v>
      </c>
      <c r="C114" s="6" t="s">
        <v>11</v>
      </c>
      <c r="D114" s="114" t="s">
        <v>210</v>
      </c>
      <c r="E114" s="113">
        <v>17.061206669394601</v>
      </c>
    </row>
    <row r="115" spans="1:5" x14ac:dyDescent="0.25">
      <c r="A115" s="107" t="s">
        <v>217</v>
      </c>
      <c r="B115" s="5" t="s">
        <v>10</v>
      </c>
      <c r="C115" s="6" t="s">
        <v>11</v>
      </c>
      <c r="D115" s="114" t="s">
        <v>211</v>
      </c>
      <c r="E115" s="113">
        <v>27.487917043833299</v>
      </c>
    </row>
    <row r="116" spans="1:5" x14ac:dyDescent="0.25">
      <c r="A116" s="107" t="s">
        <v>217</v>
      </c>
      <c r="B116" s="5" t="s">
        <v>10</v>
      </c>
      <c r="C116" s="6" t="s">
        <v>11</v>
      </c>
      <c r="D116" s="114" t="s">
        <v>209</v>
      </c>
      <c r="E116" s="113">
        <v>26.987207783361249</v>
      </c>
    </row>
    <row r="117" spans="1:5" x14ac:dyDescent="0.25">
      <c r="A117" s="107" t="s">
        <v>217</v>
      </c>
      <c r="B117" s="5" t="s">
        <v>10</v>
      </c>
      <c r="C117" s="6" t="s">
        <v>11</v>
      </c>
      <c r="D117" s="114" t="s">
        <v>210</v>
      </c>
      <c r="E117" s="113">
        <v>18.647952954858553</v>
      </c>
    </row>
    <row r="118" spans="1:5" x14ac:dyDescent="0.25">
      <c r="A118" s="107" t="s">
        <v>217</v>
      </c>
      <c r="B118" s="5" t="s">
        <v>10</v>
      </c>
      <c r="C118" s="6" t="s">
        <v>11</v>
      </c>
      <c r="D118" s="114" t="s">
        <v>211</v>
      </c>
      <c r="E118" s="113">
        <v>27.472840707530199</v>
      </c>
    </row>
    <row r="119" spans="1:5" x14ac:dyDescent="0.25">
      <c r="A119" s="107" t="s">
        <v>217</v>
      </c>
      <c r="B119" s="5" t="s">
        <v>10</v>
      </c>
      <c r="C119" s="7" t="s">
        <v>43</v>
      </c>
      <c r="D119" s="114" t="s">
        <v>209</v>
      </c>
      <c r="E119" s="113">
        <v>19.541719716809201</v>
      </c>
    </row>
    <row r="120" spans="1:5" x14ac:dyDescent="0.25">
      <c r="A120" s="107" t="s">
        <v>217</v>
      </c>
      <c r="B120" s="5" t="s">
        <v>10</v>
      </c>
      <c r="C120" s="7" t="s">
        <v>43</v>
      </c>
      <c r="D120" s="114" t="s">
        <v>210</v>
      </c>
      <c r="E120" s="113">
        <v>16.325431520222452</v>
      </c>
    </row>
    <row r="121" spans="1:5" x14ac:dyDescent="0.25">
      <c r="A121" s="107" t="s">
        <v>217</v>
      </c>
      <c r="B121" s="5" t="s">
        <v>10</v>
      </c>
      <c r="C121" s="7" t="s">
        <v>43</v>
      </c>
      <c r="D121" s="114" t="s">
        <v>211</v>
      </c>
      <c r="E121" s="113">
        <v>22.837213436335599</v>
      </c>
    </row>
    <row r="122" spans="1:5" x14ac:dyDescent="0.25">
      <c r="A122" s="107" t="s">
        <v>217</v>
      </c>
      <c r="B122" s="5" t="s">
        <v>10</v>
      </c>
      <c r="C122" s="7" t="s">
        <v>43</v>
      </c>
      <c r="D122" s="114" t="s">
        <v>209</v>
      </c>
      <c r="E122" s="113">
        <v>20.022689384851549</v>
      </c>
    </row>
    <row r="123" spans="1:5" x14ac:dyDescent="0.25">
      <c r="A123" s="107" t="s">
        <v>217</v>
      </c>
      <c r="B123" s="5" t="s">
        <v>10</v>
      </c>
      <c r="C123" s="7" t="s">
        <v>43</v>
      </c>
      <c r="D123" s="114" t="s">
        <v>210</v>
      </c>
      <c r="E123" s="113">
        <v>16.938617871772202</v>
      </c>
    </row>
    <row r="124" spans="1:5" x14ac:dyDescent="0.25">
      <c r="A124" s="107" t="s">
        <v>217</v>
      </c>
      <c r="B124" s="5" t="s">
        <v>10</v>
      </c>
      <c r="C124" s="7" t="s">
        <v>43</v>
      </c>
      <c r="D124" s="114" t="s">
        <v>211</v>
      </c>
      <c r="E124" s="113">
        <v>28.568930209637749</v>
      </c>
    </row>
    <row r="125" spans="1:5" x14ac:dyDescent="0.25">
      <c r="A125" s="107" t="s">
        <v>217</v>
      </c>
      <c r="B125" s="5" t="s">
        <v>10</v>
      </c>
      <c r="C125" s="7" t="s">
        <v>43</v>
      </c>
      <c r="D125" s="114" t="s">
        <v>209</v>
      </c>
      <c r="E125" s="113">
        <v>32.025732740818995</v>
      </c>
    </row>
    <row r="126" spans="1:5" x14ac:dyDescent="0.25">
      <c r="A126" s="107" t="s">
        <v>217</v>
      </c>
      <c r="B126" s="5" t="s">
        <v>10</v>
      </c>
      <c r="C126" s="7" t="s">
        <v>43</v>
      </c>
      <c r="D126" s="114" t="s">
        <v>210</v>
      </c>
      <c r="E126" s="113">
        <v>26.8011133738712</v>
      </c>
    </row>
    <row r="127" spans="1:5" x14ac:dyDescent="0.25">
      <c r="A127" s="107" t="s">
        <v>217</v>
      </c>
      <c r="B127" s="5" t="s">
        <v>10</v>
      </c>
      <c r="C127" s="7" t="s">
        <v>43</v>
      </c>
      <c r="D127" s="114" t="s">
        <v>211</v>
      </c>
      <c r="E127" s="113">
        <v>29.915859776591752</v>
      </c>
    </row>
    <row r="128" spans="1:5" x14ac:dyDescent="0.25">
      <c r="A128" s="107" t="s">
        <v>217</v>
      </c>
      <c r="B128" s="4" t="s">
        <v>23</v>
      </c>
      <c r="C128" s="6" t="s">
        <v>11</v>
      </c>
      <c r="D128" s="114" t="s">
        <v>209</v>
      </c>
      <c r="E128" s="113">
        <v>25.6688751115705</v>
      </c>
    </row>
    <row r="129" spans="1:5" x14ac:dyDescent="0.25">
      <c r="A129" s="107" t="s">
        <v>217</v>
      </c>
      <c r="B129" s="4" t="s">
        <v>23</v>
      </c>
      <c r="C129" s="6" t="s">
        <v>11</v>
      </c>
      <c r="D129" s="114" t="s">
        <v>210</v>
      </c>
      <c r="E129" s="113">
        <v>16.622092250411953</v>
      </c>
    </row>
    <row r="130" spans="1:5" x14ac:dyDescent="0.25">
      <c r="A130" s="107" t="s">
        <v>217</v>
      </c>
      <c r="B130" s="4" t="s">
        <v>23</v>
      </c>
      <c r="C130" s="6" t="s">
        <v>11</v>
      </c>
      <c r="D130" s="114" t="s">
        <v>211</v>
      </c>
      <c r="E130" s="113">
        <v>26.768729628084898</v>
      </c>
    </row>
    <row r="131" spans="1:5" x14ac:dyDescent="0.25">
      <c r="A131" s="107" t="s">
        <v>217</v>
      </c>
      <c r="B131" s="4" t="s">
        <v>23</v>
      </c>
      <c r="C131" s="6" t="s">
        <v>11</v>
      </c>
      <c r="D131" s="114" t="s">
        <v>209</v>
      </c>
      <c r="E131" s="113">
        <v>20.355334973464203</v>
      </c>
    </row>
    <row r="132" spans="1:5" x14ac:dyDescent="0.25">
      <c r="A132" s="107" t="s">
        <v>217</v>
      </c>
      <c r="B132" s="4" t="s">
        <v>23</v>
      </c>
      <c r="C132" s="6" t="s">
        <v>11</v>
      </c>
      <c r="D132" s="114" t="s">
        <v>210</v>
      </c>
      <c r="E132" s="113">
        <v>16.008008222613199</v>
      </c>
    </row>
    <row r="133" spans="1:5" x14ac:dyDescent="0.25">
      <c r="A133" s="107" t="s">
        <v>217</v>
      </c>
      <c r="B133" s="4" t="s">
        <v>23</v>
      </c>
      <c r="C133" s="6" t="s">
        <v>11</v>
      </c>
      <c r="D133" s="114" t="s">
        <v>211</v>
      </c>
      <c r="E133" s="113">
        <v>25.856608800376897</v>
      </c>
    </row>
    <row r="134" spans="1:5" x14ac:dyDescent="0.25">
      <c r="A134" s="107" t="s">
        <v>217</v>
      </c>
      <c r="B134" s="4" t="s">
        <v>23</v>
      </c>
      <c r="C134" s="6" t="s">
        <v>11</v>
      </c>
      <c r="D134" s="114" t="s">
        <v>209</v>
      </c>
      <c r="E134" s="113">
        <v>22.61136193880775</v>
      </c>
    </row>
    <row r="135" spans="1:5" x14ac:dyDescent="0.25">
      <c r="A135" s="107" t="s">
        <v>217</v>
      </c>
      <c r="B135" s="4" t="s">
        <v>23</v>
      </c>
      <c r="C135" s="6" t="s">
        <v>11</v>
      </c>
      <c r="D135" s="114" t="s">
        <v>210</v>
      </c>
      <c r="E135" s="113">
        <v>16.556513366733398</v>
      </c>
    </row>
    <row r="136" spans="1:5" x14ac:dyDescent="0.25">
      <c r="A136" s="107" t="s">
        <v>217</v>
      </c>
      <c r="B136" s="4" t="s">
        <v>23</v>
      </c>
      <c r="C136" s="6" t="s">
        <v>11</v>
      </c>
      <c r="D136" s="114" t="s">
        <v>211</v>
      </c>
      <c r="E136" s="113">
        <v>24.896554903006951</v>
      </c>
    </row>
    <row r="137" spans="1:5" x14ac:dyDescent="0.25">
      <c r="A137" s="107" t="s">
        <v>217</v>
      </c>
      <c r="B137" s="4" t="s">
        <v>23</v>
      </c>
      <c r="C137" s="7" t="s">
        <v>43</v>
      </c>
      <c r="D137" s="114" t="s">
        <v>209</v>
      </c>
      <c r="E137" s="113">
        <v>30.2357775092532</v>
      </c>
    </row>
    <row r="138" spans="1:5" x14ac:dyDescent="0.25">
      <c r="A138" s="107" t="s">
        <v>217</v>
      </c>
      <c r="B138" s="4" t="s">
        <v>23</v>
      </c>
      <c r="C138" s="7" t="s">
        <v>43</v>
      </c>
      <c r="D138" s="114" t="s">
        <v>210</v>
      </c>
      <c r="E138" s="113">
        <v>19.010556405146101</v>
      </c>
    </row>
    <row r="139" spans="1:5" x14ac:dyDescent="0.25">
      <c r="A139" s="107" t="s">
        <v>217</v>
      </c>
      <c r="B139" s="4" t="s">
        <v>23</v>
      </c>
      <c r="C139" s="7" t="s">
        <v>43</v>
      </c>
      <c r="D139" s="114" t="s">
        <v>211</v>
      </c>
      <c r="E139" s="113">
        <v>31.789650333563952</v>
      </c>
    </row>
    <row r="140" spans="1:5" x14ac:dyDescent="0.25">
      <c r="A140" s="107" t="s">
        <v>217</v>
      </c>
      <c r="B140" s="4" t="s">
        <v>23</v>
      </c>
      <c r="C140" s="7" t="s">
        <v>43</v>
      </c>
      <c r="D140" s="114" t="s">
        <v>209</v>
      </c>
      <c r="E140" s="113">
        <v>23.080352889989953</v>
      </c>
    </row>
    <row r="141" spans="1:5" x14ac:dyDescent="0.25">
      <c r="A141" s="107" t="s">
        <v>217</v>
      </c>
      <c r="B141" s="4" t="s">
        <v>23</v>
      </c>
      <c r="C141" s="7" t="s">
        <v>43</v>
      </c>
      <c r="D141" s="114" t="s">
        <v>210</v>
      </c>
      <c r="E141" s="113">
        <v>20.0615409349837</v>
      </c>
    </row>
    <row r="142" spans="1:5" x14ac:dyDescent="0.25">
      <c r="A142" s="107" t="s">
        <v>217</v>
      </c>
      <c r="B142" s="4" t="s">
        <v>23</v>
      </c>
      <c r="C142" s="7" t="s">
        <v>43</v>
      </c>
      <c r="D142" s="114" t="s">
        <v>211</v>
      </c>
      <c r="E142" s="113">
        <v>31.071880180593048</v>
      </c>
    </row>
    <row r="143" spans="1:5" x14ac:dyDescent="0.25">
      <c r="A143" s="107" t="s">
        <v>217</v>
      </c>
      <c r="B143" s="4" t="s">
        <v>23</v>
      </c>
      <c r="C143" s="7" t="s">
        <v>43</v>
      </c>
      <c r="D143" s="114" t="s">
        <v>209</v>
      </c>
      <c r="E143" s="113">
        <v>28.346161361439002</v>
      </c>
    </row>
    <row r="144" spans="1:5" x14ac:dyDescent="0.25">
      <c r="A144" s="107" t="s">
        <v>217</v>
      </c>
      <c r="B144" s="4" t="s">
        <v>23</v>
      </c>
      <c r="C144" s="7" t="s">
        <v>43</v>
      </c>
      <c r="D144" s="114" t="s">
        <v>210</v>
      </c>
      <c r="E144" s="113">
        <v>18.726070795889399</v>
      </c>
    </row>
    <row r="145" spans="1:5" x14ac:dyDescent="0.25">
      <c r="A145" s="107" t="s">
        <v>217</v>
      </c>
      <c r="B145" s="4" t="s">
        <v>23</v>
      </c>
      <c r="C145" s="7" t="s">
        <v>43</v>
      </c>
      <c r="D145" s="114" t="s">
        <v>211</v>
      </c>
      <c r="E145" s="113">
        <v>26.35380217659225</v>
      </c>
    </row>
    <row r="146" spans="1:5" x14ac:dyDescent="0.25">
      <c r="A146" s="107" t="s">
        <v>217</v>
      </c>
      <c r="B146" s="3" t="s">
        <v>33</v>
      </c>
      <c r="C146" s="6" t="s">
        <v>11</v>
      </c>
      <c r="D146" s="114" t="s">
        <v>209</v>
      </c>
      <c r="E146" s="113">
        <v>21.99622249785995</v>
      </c>
    </row>
    <row r="147" spans="1:5" x14ac:dyDescent="0.25">
      <c r="A147" s="107" t="s">
        <v>217</v>
      </c>
      <c r="B147" s="3" t="s">
        <v>33</v>
      </c>
      <c r="C147" s="6" t="s">
        <v>11</v>
      </c>
      <c r="D147" s="114" t="s">
        <v>210</v>
      </c>
      <c r="E147" s="113">
        <v>18.972204279325801</v>
      </c>
    </row>
    <row r="148" spans="1:5" x14ac:dyDescent="0.25">
      <c r="A148" s="107" t="s">
        <v>217</v>
      </c>
      <c r="B148" s="3" t="s">
        <v>33</v>
      </c>
      <c r="C148" s="6" t="s">
        <v>11</v>
      </c>
      <c r="D148" s="114" t="s">
        <v>211</v>
      </c>
      <c r="E148" s="113">
        <v>26.435133928184953</v>
      </c>
    </row>
    <row r="149" spans="1:5" x14ac:dyDescent="0.25">
      <c r="A149" s="107" t="s">
        <v>217</v>
      </c>
      <c r="B149" s="3" t="s">
        <v>33</v>
      </c>
      <c r="C149" s="6" t="s">
        <v>11</v>
      </c>
      <c r="D149" s="114" t="s">
        <v>209</v>
      </c>
      <c r="E149" s="113">
        <v>20.280648584622199</v>
      </c>
    </row>
    <row r="150" spans="1:5" x14ac:dyDescent="0.25">
      <c r="A150" s="107" t="s">
        <v>217</v>
      </c>
      <c r="B150" s="3" t="s">
        <v>33</v>
      </c>
      <c r="C150" s="6" t="s">
        <v>11</v>
      </c>
      <c r="D150" s="114" t="s">
        <v>210</v>
      </c>
      <c r="E150" s="113">
        <v>17.8491352411388</v>
      </c>
    </row>
    <row r="151" spans="1:5" x14ac:dyDescent="0.25">
      <c r="A151" s="107" t="s">
        <v>217</v>
      </c>
      <c r="B151" s="3" t="s">
        <v>33</v>
      </c>
      <c r="C151" s="6" t="s">
        <v>11</v>
      </c>
      <c r="D151" s="114" t="s">
        <v>211</v>
      </c>
      <c r="E151" s="113">
        <v>28.627059472213148</v>
      </c>
    </row>
    <row r="152" spans="1:5" x14ac:dyDescent="0.25">
      <c r="A152" s="107" t="s">
        <v>217</v>
      </c>
      <c r="B152" s="3" t="s">
        <v>33</v>
      </c>
      <c r="C152" s="6" t="s">
        <v>11</v>
      </c>
      <c r="D152" s="114" t="s">
        <v>209</v>
      </c>
      <c r="E152" s="113">
        <v>21.790662478892997</v>
      </c>
    </row>
    <row r="153" spans="1:5" x14ac:dyDescent="0.25">
      <c r="A153" s="107" t="s">
        <v>217</v>
      </c>
      <c r="B153" s="3" t="s">
        <v>33</v>
      </c>
      <c r="C153" s="6" t="s">
        <v>11</v>
      </c>
      <c r="D153" s="114" t="s">
        <v>210</v>
      </c>
      <c r="E153" s="113">
        <v>26.27243327739955</v>
      </c>
    </row>
    <row r="154" spans="1:5" x14ac:dyDescent="0.25">
      <c r="A154" s="107" t="s">
        <v>217</v>
      </c>
      <c r="B154" s="3" t="s">
        <v>33</v>
      </c>
      <c r="C154" s="6" t="s">
        <v>11</v>
      </c>
      <c r="D154" s="114" t="s">
        <v>211</v>
      </c>
      <c r="E154" s="113">
        <v>26.678983937338749</v>
      </c>
    </row>
    <row r="155" spans="1:5" x14ac:dyDescent="0.25">
      <c r="A155" s="107" t="s">
        <v>217</v>
      </c>
      <c r="B155" s="3" t="s">
        <v>33</v>
      </c>
      <c r="C155" s="7" t="s">
        <v>43</v>
      </c>
      <c r="D155" s="114" t="s">
        <v>209</v>
      </c>
      <c r="E155" s="113">
        <v>21.26840230339025</v>
      </c>
    </row>
    <row r="156" spans="1:5" x14ac:dyDescent="0.25">
      <c r="A156" s="107" t="s">
        <v>217</v>
      </c>
      <c r="B156" s="3" t="s">
        <v>33</v>
      </c>
      <c r="C156" s="7" t="s">
        <v>43</v>
      </c>
      <c r="D156" s="114" t="s">
        <v>210</v>
      </c>
      <c r="E156" s="113">
        <v>18.442391038735849</v>
      </c>
    </row>
    <row r="157" spans="1:5" x14ac:dyDescent="0.25">
      <c r="A157" s="107" t="s">
        <v>217</v>
      </c>
      <c r="B157" s="3" t="s">
        <v>33</v>
      </c>
      <c r="C157" s="7" t="s">
        <v>43</v>
      </c>
      <c r="D157" s="114" t="s">
        <v>211</v>
      </c>
      <c r="E157" s="113">
        <v>25.9069854510685</v>
      </c>
    </row>
    <row r="158" spans="1:5" x14ac:dyDescent="0.25">
      <c r="A158" s="107" t="s">
        <v>217</v>
      </c>
      <c r="B158" s="3" t="s">
        <v>33</v>
      </c>
      <c r="C158" s="7" t="s">
        <v>43</v>
      </c>
      <c r="D158" s="114" t="s">
        <v>209</v>
      </c>
      <c r="E158" s="113">
        <v>23.616674652946301</v>
      </c>
    </row>
    <row r="159" spans="1:5" x14ac:dyDescent="0.25">
      <c r="A159" s="107" t="s">
        <v>217</v>
      </c>
      <c r="B159" s="3" t="s">
        <v>33</v>
      </c>
      <c r="C159" s="7" t="s">
        <v>43</v>
      </c>
      <c r="D159" s="114" t="s">
        <v>210</v>
      </c>
      <c r="E159" s="113">
        <v>17.737087281133299</v>
      </c>
    </row>
    <row r="160" spans="1:5" x14ac:dyDescent="0.25">
      <c r="A160" s="107" t="s">
        <v>217</v>
      </c>
      <c r="B160" s="3" t="s">
        <v>33</v>
      </c>
      <c r="C160" s="7" t="s">
        <v>43</v>
      </c>
      <c r="D160" s="114" t="s">
        <v>211</v>
      </c>
      <c r="E160" s="113">
        <v>21.143863707110299</v>
      </c>
    </row>
    <row r="161" spans="1:5" x14ac:dyDescent="0.25">
      <c r="A161" s="107" t="s">
        <v>217</v>
      </c>
      <c r="B161" s="3" t="s">
        <v>33</v>
      </c>
      <c r="C161" s="7" t="s">
        <v>43</v>
      </c>
      <c r="D161" s="114" t="s">
        <v>209</v>
      </c>
      <c r="E161" s="113">
        <v>19.4343706141917</v>
      </c>
    </row>
    <row r="162" spans="1:5" x14ac:dyDescent="0.25">
      <c r="A162" s="107" t="s">
        <v>217</v>
      </c>
      <c r="B162" s="3" t="s">
        <v>33</v>
      </c>
      <c r="C162" s="7" t="s">
        <v>43</v>
      </c>
      <c r="D162" s="114" t="s">
        <v>210</v>
      </c>
      <c r="E162" s="113">
        <v>16.87052954011445</v>
      </c>
    </row>
    <row r="163" spans="1:5" x14ac:dyDescent="0.25">
      <c r="A163" s="107" t="s">
        <v>217</v>
      </c>
      <c r="B163" s="108" t="s">
        <v>33</v>
      </c>
      <c r="C163" s="104" t="s">
        <v>43</v>
      </c>
      <c r="D163" s="115" t="s">
        <v>211</v>
      </c>
      <c r="E163" s="116">
        <v>22.230048931940701</v>
      </c>
    </row>
    <row r="164" spans="1:5" x14ac:dyDescent="0.25">
      <c r="A164" s="106" t="s">
        <v>218</v>
      </c>
      <c r="B164" s="105" t="s">
        <v>10</v>
      </c>
      <c r="C164" s="103" t="s">
        <v>11</v>
      </c>
      <c r="D164" s="112" t="s">
        <v>209</v>
      </c>
      <c r="E164" s="113">
        <v>25.02922896484835</v>
      </c>
    </row>
    <row r="165" spans="1:5" x14ac:dyDescent="0.25">
      <c r="A165" s="107" t="s">
        <v>218</v>
      </c>
      <c r="B165" s="5" t="s">
        <v>10</v>
      </c>
      <c r="C165" s="6" t="s">
        <v>11</v>
      </c>
      <c r="D165" s="114" t="s">
        <v>210</v>
      </c>
      <c r="E165" s="113">
        <v>22.429309878189798</v>
      </c>
    </row>
    <row r="166" spans="1:5" x14ac:dyDescent="0.25">
      <c r="A166" s="107" t="s">
        <v>218</v>
      </c>
      <c r="B166" s="5" t="s">
        <v>10</v>
      </c>
      <c r="C166" s="6" t="s">
        <v>11</v>
      </c>
      <c r="D166" s="114" t="s">
        <v>211</v>
      </c>
      <c r="E166" s="113">
        <v>29.823381750827998</v>
      </c>
    </row>
    <row r="167" spans="1:5" x14ac:dyDescent="0.25">
      <c r="A167" s="107" t="s">
        <v>218</v>
      </c>
      <c r="B167" s="5" t="s">
        <v>10</v>
      </c>
      <c r="C167" s="6" t="s">
        <v>11</v>
      </c>
      <c r="D167" s="114" t="s">
        <v>209</v>
      </c>
      <c r="E167" s="113">
        <v>22.456865705260448</v>
      </c>
    </row>
    <row r="168" spans="1:5" x14ac:dyDescent="0.25">
      <c r="A168" s="107" t="s">
        <v>218</v>
      </c>
      <c r="B168" s="5" t="s">
        <v>10</v>
      </c>
      <c r="C168" s="6" t="s">
        <v>11</v>
      </c>
      <c r="D168" s="114" t="s">
        <v>210</v>
      </c>
      <c r="E168" s="113">
        <v>20.753771044803301</v>
      </c>
    </row>
    <row r="169" spans="1:5" x14ac:dyDescent="0.25">
      <c r="A169" s="107" t="s">
        <v>218</v>
      </c>
      <c r="B169" s="5" t="s">
        <v>10</v>
      </c>
      <c r="C169" s="6" t="s">
        <v>11</v>
      </c>
      <c r="D169" s="114" t="s">
        <v>211</v>
      </c>
      <c r="E169" s="113">
        <v>31.0295215307547</v>
      </c>
    </row>
    <row r="170" spans="1:5" x14ac:dyDescent="0.25">
      <c r="A170" s="107" t="s">
        <v>218</v>
      </c>
      <c r="B170" s="5" t="s">
        <v>10</v>
      </c>
      <c r="C170" s="6" t="s">
        <v>11</v>
      </c>
      <c r="D170" s="114" t="s">
        <v>209</v>
      </c>
      <c r="E170" s="113">
        <v>24.536956013159802</v>
      </c>
    </row>
    <row r="171" spans="1:5" x14ac:dyDescent="0.25">
      <c r="A171" s="107" t="s">
        <v>218</v>
      </c>
      <c r="B171" s="5" t="s">
        <v>10</v>
      </c>
      <c r="C171" s="6" t="s">
        <v>11</v>
      </c>
      <c r="D171" s="114" t="s">
        <v>210</v>
      </c>
      <c r="E171" s="113">
        <v>22.012114252607951</v>
      </c>
    </row>
    <row r="172" spans="1:5" x14ac:dyDescent="0.25">
      <c r="A172" s="107" t="s">
        <v>218</v>
      </c>
      <c r="B172" s="5" t="s">
        <v>10</v>
      </c>
      <c r="C172" s="6" t="s">
        <v>11</v>
      </c>
      <c r="D172" s="114" t="s">
        <v>211</v>
      </c>
      <c r="E172" s="113">
        <v>27.706763508323299</v>
      </c>
    </row>
    <row r="173" spans="1:5" x14ac:dyDescent="0.25">
      <c r="A173" s="107" t="s">
        <v>218</v>
      </c>
      <c r="B173" s="5" t="s">
        <v>10</v>
      </c>
      <c r="C173" s="7" t="s">
        <v>43</v>
      </c>
      <c r="D173" s="114" t="s">
        <v>209</v>
      </c>
      <c r="E173" s="113">
        <v>22.2378816758692</v>
      </c>
    </row>
    <row r="174" spans="1:5" x14ac:dyDescent="0.25">
      <c r="A174" s="107" t="s">
        <v>218</v>
      </c>
      <c r="B174" s="5" t="s">
        <v>10</v>
      </c>
      <c r="C174" s="7" t="s">
        <v>43</v>
      </c>
      <c r="D174" s="114" t="s">
        <v>210</v>
      </c>
      <c r="E174" s="113">
        <v>20.22816587604655</v>
      </c>
    </row>
    <row r="175" spans="1:5" x14ac:dyDescent="0.25">
      <c r="A175" s="107" t="s">
        <v>218</v>
      </c>
      <c r="B175" s="5" t="s">
        <v>10</v>
      </c>
      <c r="C175" s="7" t="s">
        <v>43</v>
      </c>
      <c r="D175" s="114" t="s">
        <v>211</v>
      </c>
      <c r="E175" s="113">
        <v>26.272278926418451</v>
      </c>
    </row>
    <row r="176" spans="1:5" x14ac:dyDescent="0.25">
      <c r="A176" s="107" t="s">
        <v>218</v>
      </c>
      <c r="B176" s="5" t="s">
        <v>10</v>
      </c>
      <c r="C176" s="7" t="s">
        <v>43</v>
      </c>
      <c r="D176" s="114" t="s">
        <v>209</v>
      </c>
      <c r="E176" s="113">
        <v>23.337058017634199</v>
      </c>
    </row>
    <row r="177" spans="1:5" x14ac:dyDescent="0.25">
      <c r="A177" s="107" t="s">
        <v>218</v>
      </c>
      <c r="B177" s="5" t="s">
        <v>10</v>
      </c>
      <c r="C177" s="7" t="s">
        <v>43</v>
      </c>
      <c r="D177" s="114" t="s">
        <v>210</v>
      </c>
      <c r="E177" s="113">
        <v>22.602732513832052</v>
      </c>
    </row>
    <row r="178" spans="1:5" x14ac:dyDescent="0.25">
      <c r="A178" s="107" t="s">
        <v>218</v>
      </c>
      <c r="B178" s="5" t="s">
        <v>10</v>
      </c>
      <c r="C178" s="7" t="s">
        <v>43</v>
      </c>
      <c r="D178" s="114" t="s">
        <v>211</v>
      </c>
      <c r="E178" s="113">
        <v>33.276924338984855</v>
      </c>
    </row>
    <row r="179" spans="1:5" x14ac:dyDescent="0.25">
      <c r="A179" s="107" t="s">
        <v>218</v>
      </c>
      <c r="B179" s="5" t="s">
        <v>10</v>
      </c>
      <c r="C179" s="7" t="s">
        <v>43</v>
      </c>
      <c r="D179" s="114" t="s">
        <v>209</v>
      </c>
      <c r="E179" s="113">
        <v>29.849327447935948</v>
      </c>
    </row>
    <row r="180" spans="1:5" x14ac:dyDescent="0.25">
      <c r="A180" s="107" t="s">
        <v>218</v>
      </c>
      <c r="B180" s="5" t="s">
        <v>10</v>
      </c>
      <c r="C180" s="7" t="s">
        <v>43</v>
      </c>
      <c r="D180" s="114" t="s">
        <v>210</v>
      </c>
      <c r="E180" s="113">
        <v>23.174145558866499</v>
      </c>
    </row>
    <row r="181" spans="1:5" x14ac:dyDescent="0.25">
      <c r="A181" s="107" t="s">
        <v>218</v>
      </c>
      <c r="B181" s="5" t="s">
        <v>10</v>
      </c>
      <c r="C181" s="7" t="s">
        <v>43</v>
      </c>
      <c r="D181" s="114" t="s">
        <v>211</v>
      </c>
      <c r="E181" s="113">
        <v>30.196064722983401</v>
      </c>
    </row>
    <row r="182" spans="1:5" x14ac:dyDescent="0.25">
      <c r="A182" s="107" t="s">
        <v>218</v>
      </c>
      <c r="B182" s="4" t="s">
        <v>23</v>
      </c>
      <c r="C182" s="6" t="s">
        <v>11</v>
      </c>
      <c r="D182" s="114" t="s">
        <v>209</v>
      </c>
      <c r="E182" s="113">
        <v>24.719096255101199</v>
      </c>
    </row>
    <row r="183" spans="1:5" x14ac:dyDescent="0.25">
      <c r="A183" s="107" t="s">
        <v>218</v>
      </c>
      <c r="B183" s="4" t="s">
        <v>23</v>
      </c>
      <c r="C183" s="6" t="s">
        <v>11</v>
      </c>
      <c r="D183" s="114" t="s">
        <v>210</v>
      </c>
      <c r="E183" s="113">
        <v>21.68564082395255</v>
      </c>
    </row>
    <row r="184" spans="1:5" x14ac:dyDescent="0.25">
      <c r="A184" s="107" t="s">
        <v>218</v>
      </c>
      <c r="B184" s="4" t="s">
        <v>23</v>
      </c>
      <c r="C184" s="6" t="s">
        <v>11</v>
      </c>
      <c r="D184" s="114" t="s">
        <v>211</v>
      </c>
      <c r="E184" s="113">
        <v>29.566304014454449</v>
      </c>
    </row>
    <row r="185" spans="1:5" x14ac:dyDescent="0.25">
      <c r="A185" s="107" t="s">
        <v>218</v>
      </c>
      <c r="B185" s="4" t="s">
        <v>23</v>
      </c>
      <c r="C185" s="6" t="s">
        <v>11</v>
      </c>
      <c r="D185" s="114" t="s">
        <v>209</v>
      </c>
      <c r="E185" s="113">
        <v>22.40796434782305</v>
      </c>
    </row>
    <row r="186" spans="1:5" x14ac:dyDescent="0.25">
      <c r="A186" s="107" t="s">
        <v>218</v>
      </c>
      <c r="B186" s="4" t="s">
        <v>23</v>
      </c>
      <c r="C186" s="6" t="s">
        <v>11</v>
      </c>
      <c r="D186" s="114" t="s">
        <v>210</v>
      </c>
      <c r="E186" s="113">
        <v>21.041287953964101</v>
      </c>
    </row>
    <row r="187" spans="1:5" x14ac:dyDescent="0.25">
      <c r="A187" s="107" t="s">
        <v>218</v>
      </c>
      <c r="B187" s="4" t="s">
        <v>23</v>
      </c>
      <c r="C187" s="6" t="s">
        <v>11</v>
      </c>
      <c r="D187" s="114" t="s">
        <v>211</v>
      </c>
      <c r="E187" s="113">
        <v>29.448887205972802</v>
      </c>
    </row>
    <row r="188" spans="1:5" x14ac:dyDescent="0.25">
      <c r="A188" s="107" t="s">
        <v>218</v>
      </c>
      <c r="B188" s="4" t="s">
        <v>23</v>
      </c>
      <c r="C188" s="6" t="s">
        <v>11</v>
      </c>
      <c r="D188" s="114" t="s">
        <v>209</v>
      </c>
      <c r="E188" s="113">
        <v>26.393393492376248</v>
      </c>
    </row>
    <row r="189" spans="1:5" x14ac:dyDescent="0.25">
      <c r="A189" s="107" t="s">
        <v>218</v>
      </c>
      <c r="B189" s="4" t="s">
        <v>23</v>
      </c>
      <c r="C189" s="6" t="s">
        <v>11</v>
      </c>
      <c r="D189" s="114" t="s">
        <v>210</v>
      </c>
      <c r="E189" s="113">
        <v>20.922244083098199</v>
      </c>
    </row>
    <row r="190" spans="1:5" x14ac:dyDescent="0.25">
      <c r="A190" s="107" t="s">
        <v>218</v>
      </c>
      <c r="B190" s="4" t="s">
        <v>23</v>
      </c>
      <c r="C190" s="6" t="s">
        <v>11</v>
      </c>
      <c r="D190" s="114" t="s">
        <v>211</v>
      </c>
      <c r="E190" s="113">
        <v>30.309502481296498</v>
      </c>
    </row>
    <row r="191" spans="1:5" x14ac:dyDescent="0.25">
      <c r="A191" s="107" t="s">
        <v>218</v>
      </c>
      <c r="B191" s="4" t="s">
        <v>23</v>
      </c>
      <c r="C191" s="7" t="s">
        <v>43</v>
      </c>
      <c r="D191" s="114" t="s">
        <v>209</v>
      </c>
      <c r="E191" s="113">
        <v>26.554806887974649</v>
      </c>
    </row>
    <row r="192" spans="1:5" x14ac:dyDescent="0.25">
      <c r="A192" s="107" t="s">
        <v>218</v>
      </c>
      <c r="B192" s="4" t="s">
        <v>23</v>
      </c>
      <c r="C192" s="7" t="s">
        <v>43</v>
      </c>
      <c r="D192" s="114" t="s">
        <v>210</v>
      </c>
      <c r="E192" s="113">
        <v>22.627154594619949</v>
      </c>
    </row>
    <row r="193" spans="1:5" x14ac:dyDescent="0.25">
      <c r="A193" s="107" t="s">
        <v>218</v>
      </c>
      <c r="B193" s="4" t="s">
        <v>23</v>
      </c>
      <c r="C193" s="7" t="s">
        <v>43</v>
      </c>
      <c r="D193" s="114" t="s">
        <v>211</v>
      </c>
      <c r="E193" s="113">
        <v>35.051610081658055</v>
      </c>
    </row>
    <row r="194" spans="1:5" x14ac:dyDescent="0.25">
      <c r="A194" s="107" t="s">
        <v>218</v>
      </c>
      <c r="B194" s="4" t="s">
        <v>23</v>
      </c>
      <c r="C194" s="7" t="s">
        <v>43</v>
      </c>
      <c r="D194" s="114" t="s">
        <v>209</v>
      </c>
      <c r="E194" s="113">
        <v>28.100547694632802</v>
      </c>
    </row>
    <row r="195" spans="1:5" x14ac:dyDescent="0.25">
      <c r="A195" s="107" t="s">
        <v>218</v>
      </c>
      <c r="B195" s="4" t="s">
        <v>23</v>
      </c>
      <c r="C195" s="7" t="s">
        <v>43</v>
      </c>
      <c r="D195" s="114" t="s">
        <v>210</v>
      </c>
      <c r="E195" s="113">
        <v>23.02553765663205</v>
      </c>
    </row>
    <row r="196" spans="1:5" x14ac:dyDescent="0.25">
      <c r="A196" s="107" t="s">
        <v>218</v>
      </c>
      <c r="B196" s="4" t="s">
        <v>23</v>
      </c>
      <c r="C196" s="7" t="s">
        <v>43</v>
      </c>
      <c r="D196" s="114" t="s">
        <v>211</v>
      </c>
      <c r="E196" s="113">
        <v>31.2026303510684</v>
      </c>
    </row>
    <row r="197" spans="1:5" x14ac:dyDescent="0.25">
      <c r="A197" s="107" t="s">
        <v>218</v>
      </c>
      <c r="B197" s="4" t="s">
        <v>23</v>
      </c>
      <c r="C197" s="7" t="s">
        <v>43</v>
      </c>
      <c r="D197" s="114" t="s">
        <v>209</v>
      </c>
      <c r="E197" s="113">
        <v>25.455893679505451</v>
      </c>
    </row>
    <row r="198" spans="1:5" x14ac:dyDescent="0.25">
      <c r="A198" s="107" t="s">
        <v>218</v>
      </c>
      <c r="B198" s="4" t="s">
        <v>23</v>
      </c>
      <c r="C198" s="7" t="s">
        <v>43</v>
      </c>
      <c r="D198" s="114" t="s">
        <v>210</v>
      </c>
      <c r="E198" s="113">
        <v>21.192468258600698</v>
      </c>
    </row>
    <row r="199" spans="1:5" x14ac:dyDescent="0.25">
      <c r="A199" s="107" t="s">
        <v>218</v>
      </c>
      <c r="B199" s="4" t="s">
        <v>23</v>
      </c>
      <c r="C199" s="7" t="s">
        <v>43</v>
      </c>
      <c r="D199" s="114" t="s">
        <v>211</v>
      </c>
      <c r="E199" s="113">
        <v>29.3644557724541</v>
      </c>
    </row>
    <row r="200" spans="1:5" x14ac:dyDescent="0.25">
      <c r="A200" s="107" t="s">
        <v>218</v>
      </c>
      <c r="B200" s="3" t="s">
        <v>33</v>
      </c>
      <c r="C200" s="6" t="s">
        <v>11</v>
      </c>
      <c r="D200" s="114" t="s">
        <v>209</v>
      </c>
      <c r="E200" s="113">
        <v>25.51663054994215</v>
      </c>
    </row>
    <row r="201" spans="1:5" x14ac:dyDescent="0.25">
      <c r="A201" s="107" t="s">
        <v>218</v>
      </c>
      <c r="B201" s="3" t="s">
        <v>33</v>
      </c>
      <c r="C201" s="6" t="s">
        <v>11</v>
      </c>
      <c r="D201" s="114" t="s">
        <v>210</v>
      </c>
      <c r="E201" s="113">
        <v>22.1233566771038</v>
      </c>
    </row>
    <row r="202" spans="1:5" x14ac:dyDescent="0.25">
      <c r="A202" s="107" t="s">
        <v>218</v>
      </c>
      <c r="B202" s="3" t="s">
        <v>33</v>
      </c>
      <c r="C202" s="6" t="s">
        <v>11</v>
      </c>
      <c r="D202" s="114" t="s">
        <v>211</v>
      </c>
      <c r="E202" s="113">
        <v>28.55461712095795</v>
      </c>
    </row>
    <row r="203" spans="1:5" x14ac:dyDescent="0.25">
      <c r="A203" s="107" t="s">
        <v>218</v>
      </c>
      <c r="B203" s="3" t="s">
        <v>33</v>
      </c>
      <c r="C203" s="6" t="s">
        <v>11</v>
      </c>
      <c r="D203" s="114" t="s">
        <v>209</v>
      </c>
      <c r="E203" s="113">
        <v>22.395414892250102</v>
      </c>
    </row>
    <row r="204" spans="1:5" x14ac:dyDescent="0.25">
      <c r="A204" s="107" t="s">
        <v>218</v>
      </c>
      <c r="B204" s="3" t="s">
        <v>33</v>
      </c>
      <c r="C204" s="6" t="s">
        <v>11</v>
      </c>
      <c r="D204" s="114" t="s">
        <v>210</v>
      </c>
      <c r="E204" s="113">
        <v>19.784712886413651</v>
      </c>
    </row>
    <row r="205" spans="1:5" x14ac:dyDescent="0.25">
      <c r="A205" s="107" t="s">
        <v>218</v>
      </c>
      <c r="B205" s="3" t="s">
        <v>33</v>
      </c>
      <c r="C205" s="6" t="s">
        <v>11</v>
      </c>
      <c r="D205" s="114" t="s">
        <v>211</v>
      </c>
      <c r="E205" s="113">
        <v>21.365583568224249</v>
      </c>
    </row>
    <row r="206" spans="1:5" x14ac:dyDescent="0.25">
      <c r="A206" s="107" t="s">
        <v>218</v>
      </c>
      <c r="B206" s="3" t="s">
        <v>33</v>
      </c>
      <c r="C206" s="6" t="s">
        <v>11</v>
      </c>
      <c r="D206" s="114" t="s">
        <v>209</v>
      </c>
      <c r="E206" s="113">
        <v>21.9383306584796</v>
      </c>
    </row>
    <row r="207" spans="1:5" x14ac:dyDescent="0.25">
      <c r="A207" s="107" t="s">
        <v>218</v>
      </c>
      <c r="B207" s="3" t="s">
        <v>33</v>
      </c>
      <c r="C207" s="6" t="s">
        <v>11</v>
      </c>
      <c r="D207" s="114" t="s">
        <v>210</v>
      </c>
      <c r="E207" s="113">
        <v>32.56682647643985</v>
      </c>
    </row>
    <row r="208" spans="1:5" x14ac:dyDescent="0.25">
      <c r="A208" s="107" t="s">
        <v>218</v>
      </c>
      <c r="B208" s="3" t="s">
        <v>33</v>
      </c>
      <c r="C208" s="6" t="s">
        <v>11</v>
      </c>
      <c r="D208" s="114" t="s">
        <v>211</v>
      </c>
      <c r="E208" s="113">
        <v>28.203621539011152</v>
      </c>
    </row>
    <row r="209" spans="1:5" x14ac:dyDescent="0.25">
      <c r="A209" s="107" t="s">
        <v>218</v>
      </c>
      <c r="B209" s="3" t="s">
        <v>33</v>
      </c>
      <c r="C209" s="7" t="s">
        <v>43</v>
      </c>
      <c r="D209" s="114" t="s">
        <v>209</v>
      </c>
      <c r="E209" s="113">
        <v>23.772447475872802</v>
      </c>
    </row>
    <row r="210" spans="1:5" x14ac:dyDescent="0.25">
      <c r="A210" s="107" t="s">
        <v>218</v>
      </c>
      <c r="B210" s="3" t="s">
        <v>33</v>
      </c>
      <c r="C210" s="7" t="s">
        <v>43</v>
      </c>
      <c r="D210" s="114" t="s">
        <v>210</v>
      </c>
      <c r="E210" s="113">
        <v>31.794231568530648</v>
      </c>
    </row>
    <row r="211" spans="1:5" x14ac:dyDescent="0.25">
      <c r="A211" s="107" t="s">
        <v>218</v>
      </c>
      <c r="B211" s="3" t="s">
        <v>33</v>
      </c>
      <c r="C211" s="7" t="s">
        <v>43</v>
      </c>
      <c r="D211" s="114" t="s">
        <v>211</v>
      </c>
      <c r="E211" s="113">
        <v>27.027314056739051</v>
      </c>
    </row>
    <row r="212" spans="1:5" x14ac:dyDescent="0.25">
      <c r="A212" s="107" t="s">
        <v>218</v>
      </c>
      <c r="B212" s="3" t="s">
        <v>33</v>
      </c>
      <c r="C212" s="7" t="s">
        <v>43</v>
      </c>
      <c r="D212" s="114" t="s">
        <v>209</v>
      </c>
      <c r="E212" s="113">
        <v>24.5040682162705</v>
      </c>
    </row>
    <row r="213" spans="1:5" x14ac:dyDescent="0.25">
      <c r="A213" s="107" t="s">
        <v>218</v>
      </c>
      <c r="B213" s="3" t="s">
        <v>33</v>
      </c>
      <c r="C213" s="7" t="s">
        <v>43</v>
      </c>
      <c r="D213" s="114" t="s">
        <v>210</v>
      </c>
      <c r="E213" s="113">
        <v>20.500494182894698</v>
      </c>
    </row>
    <row r="214" spans="1:5" x14ac:dyDescent="0.25">
      <c r="A214" s="107" t="s">
        <v>218</v>
      </c>
      <c r="B214" s="3" t="s">
        <v>33</v>
      </c>
      <c r="C214" s="7" t="s">
        <v>43</v>
      </c>
      <c r="D214" s="114" t="s">
        <v>211</v>
      </c>
      <c r="E214" s="113">
        <v>23.844887127064098</v>
      </c>
    </row>
    <row r="215" spans="1:5" x14ac:dyDescent="0.25">
      <c r="A215" s="107" t="s">
        <v>218</v>
      </c>
      <c r="B215" s="3" t="s">
        <v>33</v>
      </c>
      <c r="C215" s="7" t="s">
        <v>43</v>
      </c>
      <c r="D215" s="114" t="s">
        <v>209</v>
      </c>
      <c r="E215" s="113">
        <v>21.196347499134397</v>
      </c>
    </row>
    <row r="216" spans="1:5" x14ac:dyDescent="0.25">
      <c r="A216" s="107" t="s">
        <v>218</v>
      </c>
      <c r="B216" s="3" t="s">
        <v>33</v>
      </c>
      <c r="C216" s="7" t="s">
        <v>43</v>
      </c>
      <c r="D216" s="114" t="s">
        <v>210</v>
      </c>
      <c r="E216" s="113">
        <v>20.699943137323199</v>
      </c>
    </row>
    <row r="217" spans="1:5" x14ac:dyDescent="0.25">
      <c r="A217" s="107" t="s">
        <v>218</v>
      </c>
      <c r="B217" s="108" t="s">
        <v>33</v>
      </c>
      <c r="C217" s="104" t="s">
        <v>43</v>
      </c>
      <c r="D217" s="115" t="s">
        <v>211</v>
      </c>
      <c r="E217" s="116">
        <v>26.46743179853015</v>
      </c>
    </row>
    <row r="218" spans="1:5" x14ac:dyDescent="0.25">
      <c r="A218" s="119" t="s">
        <v>219</v>
      </c>
      <c r="B218" s="105" t="s">
        <v>10</v>
      </c>
      <c r="C218" s="103" t="s">
        <v>11</v>
      </c>
      <c r="D218" s="112" t="s">
        <v>209</v>
      </c>
      <c r="E218" s="113">
        <v>21.953804088604102</v>
      </c>
    </row>
    <row r="219" spans="1:5" x14ac:dyDescent="0.25">
      <c r="A219" s="120" t="s">
        <v>219</v>
      </c>
      <c r="B219" s="5" t="s">
        <v>10</v>
      </c>
      <c r="C219" s="6" t="s">
        <v>11</v>
      </c>
      <c r="D219" s="114" t="s">
        <v>210</v>
      </c>
      <c r="E219" s="113">
        <v>20.183704230410399</v>
      </c>
    </row>
    <row r="220" spans="1:5" x14ac:dyDescent="0.25">
      <c r="A220" s="120" t="s">
        <v>219</v>
      </c>
      <c r="B220" s="5" t="s">
        <v>10</v>
      </c>
      <c r="C220" s="6" t="s">
        <v>11</v>
      </c>
      <c r="D220" s="114" t="s">
        <v>211</v>
      </c>
      <c r="E220" s="113">
        <v>25.119233226615002</v>
      </c>
    </row>
    <row r="221" spans="1:5" x14ac:dyDescent="0.25">
      <c r="A221" s="120" t="s">
        <v>219</v>
      </c>
      <c r="B221" s="5" t="s">
        <v>10</v>
      </c>
      <c r="C221" s="6" t="s">
        <v>11</v>
      </c>
      <c r="D221" s="114" t="s">
        <v>209</v>
      </c>
      <c r="E221" s="113">
        <v>19.366710917842401</v>
      </c>
    </row>
    <row r="222" spans="1:5" x14ac:dyDescent="0.25">
      <c r="A222" s="120" t="s">
        <v>219</v>
      </c>
      <c r="B222" s="5" t="s">
        <v>10</v>
      </c>
      <c r="C222" s="6" t="s">
        <v>11</v>
      </c>
      <c r="D222" s="114" t="s">
        <v>210</v>
      </c>
      <c r="E222" s="113">
        <v>19.1318676615981</v>
      </c>
    </row>
    <row r="223" spans="1:5" x14ac:dyDescent="0.25">
      <c r="A223" s="120" t="s">
        <v>219</v>
      </c>
      <c r="B223" s="5" t="s">
        <v>10</v>
      </c>
      <c r="C223" s="6" t="s">
        <v>11</v>
      </c>
      <c r="D223" s="114" t="s">
        <v>211</v>
      </c>
      <c r="E223" s="113">
        <v>26.158998183435049</v>
      </c>
    </row>
    <row r="224" spans="1:5" x14ac:dyDescent="0.25">
      <c r="A224" s="120" t="s">
        <v>219</v>
      </c>
      <c r="B224" s="5" t="s">
        <v>10</v>
      </c>
      <c r="C224" s="6" t="s">
        <v>11</v>
      </c>
      <c r="D224" s="114" t="s">
        <v>209</v>
      </c>
      <c r="E224" s="113">
        <v>24.129632381671549</v>
      </c>
    </row>
    <row r="225" spans="1:5" x14ac:dyDescent="0.25">
      <c r="A225" s="120" t="s">
        <v>219</v>
      </c>
      <c r="B225" s="5" t="s">
        <v>10</v>
      </c>
      <c r="C225" s="6" t="s">
        <v>11</v>
      </c>
      <c r="D225" s="114" t="s">
        <v>210</v>
      </c>
      <c r="E225" s="113">
        <v>19.960732261562651</v>
      </c>
    </row>
    <row r="226" spans="1:5" x14ac:dyDescent="0.25">
      <c r="A226" s="120" t="s">
        <v>219</v>
      </c>
      <c r="B226" s="5" t="s">
        <v>10</v>
      </c>
      <c r="C226" s="6" t="s">
        <v>11</v>
      </c>
      <c r="D226" s="114" t="s">
        <v>211</v>
      </c>
      <c r="E226" s="113">
        <v>23.466499978587851</v>
      </c>
    </row>
    <row r="227" spans="1:5" x14ac:dyDescent="0.25">
      <c r="A227" s="120" t="s">
        <v>219</v>
      </c>
      <c r="B227" s="5" t="s">
        <v>10</v>
      </c>
      <c r="C227" s="7" t="s">
        <v>43</v>
      </c>
      <c r="D227" s="114" t="s">
        <v>209</v>
      </c>
      <c r="E227" s="113">
        <v>18.22444650386565</v>
      </c>
    </row>
    <row r="228" spans="1:5" x14ac:dyDescent="0.25">
      <c r="A228" s="120" t="s">
        <v>219</v>
      </c>
      <c r="B228" s="5" t="s">
        <v>10</v>
      </c>
      <c r="C228" s="7" t="s">
        <v>43</v>
      </c>
      <c r="D228" s="114" t="s">
        <v>210</v>
      </c>
      <c r="E228" s="113">
        <v>18.0661430266026</v>
      </c>
    </row>
    <row r="229" spans="1:5" x14ac:dyDescent="0.25">
      <c r="A229" s="120" t="s">
        <v>219</v>
      </c>
      <c r="B229" s="5" t="s">
        <v>10</v>
      </c>
      <c r="C229" s="7" t="s">
        <v>43</v>
      </c>
      <c r="D229" s="114" t="s">
        <v>211</v>
      </c>
      <c r="E229" s="113">
        <v>20.349590257597399</v>
      </c>
    </row>
    <row r="230" spans="1:5" x14ac:dyDescent="0.25">
      <c r="A230" s="120" t="s">
        <v>219</v>
      </c>
      <c r="B230" s="5" t="s">
        <v>10</v>
      </c>
      <c r="C230" s="7" t="s">
        <v>43</v>
      </c>
      <c r="D230" s="114" t="s">
        <v>209</v>
      </c>
      <c r="E230" s="113">
        <v>19.845920525498052</v>
      </c>
    </row>
    <row r="231" spans="1:5" x14ac:dyDescent="0.25">
      <c r="A231" s="120" t="s">
        <v>219</v>
      </c>
      <c r="B231" s="5" t="s">
        <v>10</v>
      </c>
      <c r="C231" s="7" t="s">
        <v>43</v>
      </c>
      <c r="D231" s="114" t="s">
        <v>210</v>
      </c>
      <c r="E231" s="113">
        <v>20.140641268390297</v>
      </c>
    </row>
    <row r="232" spans="1:5" x14ac:dyDescent="0.25">
      <c r="A232" s="120" t="s">
        <v>219</v>
      </c>
      <c r="B232" s="5" t="s">
        <v>10</v>
      </c>
      <c r="C232" s="7" t="s">
        <v>43</v>
      </c>
      <c r="D232" s="114" t="s">
        <v>211</v>
      </c>
      <c r="E232" s="113">
        <v>27.492808149017399</v>
      </c>
    </row>
    <row r="233" spans="1:5" x14ac:dyDescent="0.25">
      <c r="A233" s="120" t="s">
        <v>219</v>
      </c>
      <c r="B233" s="5" t="s">
        <v>10</v>
      </c>
      <c r="C233" s="7" t="s">
        <v>43</v>
      </c>
      <c r="D233" s="114" t="s">
        <v>209</v>
      </c>
      <c r="E233" s="113">
        <v>31.085321477893501</v>
      </c>
    </row>
    <row r="234" spans="1:5" x14ac:dyDescent="0.25">
      <c r="A234" s="120" t="s">
        <v>219</v>
      </c>
      <c r="B234" s="5" t="s">
        <v>10</v>
      </c>
      <c r="C234" s="7" t="s">
        <v>43</v>
      </c>
      <c r="D234" s="114" t="s">
        <v>210</v>
      </c>
      <c r="E234" s="113">
        <v>27.026285609869653</v>
      </c>
    </row>
    <row r="235" spans="1:5" x14ac:dyDescent="0.25">
      <c r="A235" s="120" t="s">
        <v>219</v>
      </c>
      <c r="B235" s="5" t="s">
        <v>10</v>
      </c>
      <c r="C235" s="7" t="s">
        <v>43</v>
      </c>
      <c r="D235" s="114" t="s">
        <v>211</v>
      </c>
      <c r="E235" s="113">
        <v>27.14727937348465</v>
      </c>
    </row>
    <row r="236" spans="1:5" x14ac:dyDescent="0.25">
      <c r="A236" s="120" t="s">
        <v>219</v>
      </c>
      <c r="B236" s="4" t="s">
        <v>23</v>
      </c>
      <c r="C236" s="6" t="s">
        <v>11</v>
      </c>
      <c r="D236" s="114" t="s">
        <v>209</v>
      </c>
      <c r="E236" s="113">
        <v>23.769942659496699</v>
      </c>
    </row>
    <row r="237" spans="1:5" x14ac:dyDescent="0.25">
      <c r="A237" s="120" t="s">
        <v>219</v>
      </c>
      <c r="B237" s="4" t="s">
        <v>23</v>
      </c>
      <c r="C237" s="6" t="s">
        <v>11</v>
      </c>
      <c r="D237" s="114" t="s">
        <v>210</v>
      </c>
      <c r="E237" s="113">
        <v>18.663643110573251</v>
      </c>
    </row>
    <row r="238" spans="1:5" x14ac:dyDescent="0.25">
      <c r="A238" s="120" t="s">
        <v>219</v>
      </c>
      <c r="B238" s="4" t="s">
        <v>23</v>
      </c>
      <c r="C238" s="6" t="s">
        <v>11</v>
      </c>
      <c r="D238" s="114" t="s">
        <v>211</v>
      </c>
      <c r="E238" s="113">
        <v>23.516823215869699</v>
      </c>
    </row>
    <row r="239" spans="1:5" x14ac:dyDescent="0.25">
      <c r="A239" s="120" t="s">
        <v>219</v>
      </c>
      <c r="B239" s="4" t="s">
        <v>23</v>
      </c>
      <c r="C239" s="6" t="s">
        <v>11</v>
      </c>
      <c r="D239" s="114" t="s">
        <v>209</v>
      </c>
      <c r="E239" s="113">
        <v>19.101691292326201</v>
      </c>
    </row>
    <row r="240" spans="1:5" x14ac:dyDescent="0.25">
      <c r="A240" s="120" t="s">
        <v>219</v>
      </c>
      <c r="B240" s="4" t="s">
        <v>23</v>
      </c>
      <c r="C240" s="6" t="s">
        <v>11</v>
      </c>
      <c r="D240" s="114" t="s">
        <v>210</v>
      </c>
      <c r="E240" s="113">
        <v>18.225125634063001</v>
      </c>
    </row>
    <row r="241" spans="1:5" x14ac:dyDescent="0.25">
      <c r="A241" s="120" t="s">
        <v>219</v>
      </c>
      <c r="B241" s="4" t="s">
        <v>23</v>
      </c>
      <c r="C241" s="6" t="s">
        <v>11</v>
      </c>
      <c r="D241" s="114" t="s">
        <v>211</v>
      </c>
      <c r="E241" s="113">
        <v>24.87945637991195</v>
      </c>
    </row>
    <row r="242" spans="1:5" x14ac:dyDescent="0.25">
      <c r="A242" s="120" t="s">
        <v>219</v>
      </c>
      <c r="B242" s="4" t="s">
        <v>23</v>
      </c>
      <c r="C242" s="6" t="s">
        <v>11</v>
      </c>
      <c r="D242" s="114" t="s">
        <v>209</v>
      </c>
      <c r="E242" s="113">
        <v>22.609641337571198</v>
      </c>
    </row>
    <row r="243" spans="1:5" x14ac:dyDescent="0.25">
      <c r="A243" s="120" t="s">
        <v>219</v>
      </c>
      <c r="B243" s="4" t="s">
        <v>23</v>
      </c>
      <c r="C243" s="6" t="s">
        <v>11</v>
      </c>
      <c r="D243" s="114" t="s">
        <v>210</v>
      </c>
      <c r="E243" s="113">
        <v>18.453580829819899</v>
      </c>
    </row>
    <row r="244" spans="1:5" x14ac:dyDescent="0.25">
      <c r="A244" s="120" t="s">
        <v>219</v>
      </c>
      <c r="B244" s="4" t="s">
        <v>23</v>
      </c>
      <c r="C244" s="6" t="s">
        <v>11</v>
      </c>
      <c r="D244" s="114" t="s">
        <v>211</v>
      </c>
      <c r="E244" s="113">
        <v>24.632798521654102</v>
      </c>
    </row>
    <row r="245" spans="1:5" x14ac:dyDescent="0.25">
      <c r="A245" s="120" t="s">
        <v>219</v>
      </c>
      <c r="B245" s="4" t="s">
        <v>23</v>
      </c>
      <c r="C245" s="7" t="s">
        <v>43</v>
      </c>
      <c r="D245" s="114" t="s">
        <v>209</v>
      </c>
      <c r="E245" s="113">
        <v>28.924043909748299</v>
      </c>
    </row>
    <row r="246" spans="1:5" x14ac:dyDescent="0.25">
      <c r="A246" s="120" t="s">
        <v>219</v>
      </c>
      <c r="B246" s="4" t="s">
        <v>23</v>
      </c>
      <c r="C246" s="7" t="s">
        <v>43</v>
      </c>
      <c r="D246" s="114" t="s">
        <v>210</v>
      </c>
      <c r="E246" s="113">
        <v>21.766677039212251</v>
      </c>
    </row>
    <row r="247" spans="1:5" x14ac:dyDescent="0.25">
      <c r="A247" s="120" t="s">
        <v>219</v>
      </c>
      <c r="B247" s="4" t="s">
        <v>23</v>
      </c>
      <c r="C247" s="7" t="s">
        <v>43</v>
      </c>
      <c r="D247" s="114" t="s">
        <v>211</v>
      </c>
      <c r="E247" s="113">
        <v>32.205246222099802</v>
      </c>
    </row>
    <row r="248" spans="1:5" x14ac:dyDescent="0.25">
      <c r="A248" s="120" t="s">
        <v>219</v>
      </c>
      <c r="B248" s="4" t="s">
        <v>23</v>
      </c>
      <c r="C248" s="7" t="s">
        <v>43</v>
      </c>
      <c r="D248" s="114" t="s">
        <v>209</v>
      </c>
      <c r="E248" s="113">
        <v>24.366074667649698</v>
      </c>
    </row>
    <row r="249" spans="1:5" x14ac:dyDescent="0.25">
      <c r="A249" s="120" t="s">
        <v>219</v>
      </c>
      <c r="B249" s="4" t="s">
        <v>23</v>
      </c>
      <c r="C249" s="7" t="s">
        <v>43</v>
      </c>
      <c r="D249" s="114" t="s">
        <v>210</v>
      </c>
      <c r="E249" s="113">
        <v>22.196189056663798</v>
      </c>
    </row>
    <row r="250" spans="1:5" x14ac:dyDescent="0.25">
      <c r="A250" s="120" t="s">
        <v>219</v>
      </c>
      <c r="B250" s="4" t="s">
        <v>23</v>
      </c>
      <c r="C250" s="7" t="s">
        <v>43</v>
      </c>
      <c r="D250" s="114" t="s">
        <v>211</v>
      </c>
      <c r="E250" s="113">
        <v>28.095243653265001</v>
      </c>
    </row>
    <row r="251" spans="1:5" x14ac:dyDescent="0.25">
      <c r="A251" s="120" t="s">
        <v>219</v>
      </c>
      <c r="B251" s="4" t="s">
        <v>23</v>
      </c>
      <c r="C251" s="7" t="s">
        <v>43</v>
      </c>
      <c r="D251" s="114" t="s">
        <v>209</v>
      </c>
      <c r="E251" s="113">
        <v>25.946921440559997</v>
      </c>
    </row>
    <row r="252" spans="1:5" x14ac:dyDescent="0.25">
      <c r="A252" s="120" t="s">
        <v>219</v>
      </c>
      <c r="B252" s="4" t="s">
        <v>23</v>
      </c>
      <c r="C252" s="7" t="s">
        <v>43</v>
      </c>
      <c r="D252" s="114" t="s">
        <v>210</v>
      </c>
      <c r="E252" s="113">
        <v>20.640199576777452</v>
      </c>
    </row>
    <row r="253" spans="1:5" x14ac:dyDescent="0.25">
      <c r="A253" s="120" t="s">
        <v>219</v>
      </c>
      <c r="B253" s="4" t="s">
        <v>23</v>
      </c>
      <c r="C253" s="7" t="s">
        <v>43</v>
      </c>
      <c r="D253" s="114" t="s">
        <v>211</v>
      </c>
      <c r="E253" s="113">
        <v>25.808002396630801</v>
      </c>
    </row>
    <row r="254" spans="1:5" x14ac:dyDescent="0.25">
      <c r="A254" s="120" t="s">
        <v>219</v>
      </c>
      <c r="B254" s="3" t="s">
        <v>33</v>
      </c>
      <c r="C254" s="6" t="s">
        <v>11</v>
      </c>
      <c r="D254" s="114" t="s">
        <v>209</v>
      </c>
      <c r="E254" s="113">
        <v>20.841778297670402</v>
      </c>
    </row>
    <row r="255" spans="1:5" x14ac:dyDescent="0.25">
      <c r="A255" s="120" t="s">
        <v>219</v>
      </c>
      <c r="B255" s="3" t="s">
        <v>33</v>
      </c>
      <c r="C255" s="6" t="s">
        <v>11</v>
      </c>
      <c r="D255" s="114" t="s">
        <v>210</v>
      </c>
      <c r="E255" s="113">
        <v>20.359294036999501</v>
      </c>
    </row>
    <row r="256" spans="1:5" x14ac:dyDescent="0.25">
      <c r="A256" s="120" t="s">
        <v>219</v>
      </c>
      <c r="B256" s="3" t="s">
        <v>33</v>
      </c>
      <c r="C256" s="6" t="s">
        <v>11</v>
      </c>
      <c r="D256" s="114" t="s">
        <v>211</v>
      </c>
      <c r="E256" s="113">
        <v>23.819415728292501</v>
      </c>
    </row>
    <row r="257" spans="1:5" x14ac:dyDescent="0.25">
      <c r="A257" s="120" t="s">
        <v>219</v>
      </c>
      <c r="B257" s="3" t="s">
        <v>33</v>
      </c>
      <c r="C257" s="6" t="s">
        <v>11</v>
      </c>
      <c r="D257" s="114" t="s">
        <v>209</v>
      </c>
      <c r="E257" s="113">
        <v>18.991308036192201</v>
      </c>
    </row>
    <row r="258" spans="1:5" x14ac:dyDescent="0.25">
      <c r="A258" s="120" t="s">
        <v>219</v>
      </c>
      <c r="B258" s="3" t="s">
        <v>33</v>
      </c>
      <c r="C258" s="6" t="s">
        <v>11</v>
      </c>
      <c r="D258" s="114" t="s">
        <v>210</v>
      </c>
      <c r="E258" s="113">
        <v>18.457148865336002</v>
      </c>
    </row>
    <row r="259" spans="1:5" x14ac:dyDescent="0.25">
      <c r="A259" s="120" t="s">
        <v>219</v>
      </c>
      <c r="B259" s="3" t="s">
        <v>33</v>
      </c>
      <c r="C259" s="6" t="s">
        <v>11</v>
      </c>
      <c r="D259" s="114" t="s">
        <v>211</v>
      </c>
      <c r="E259" s="113">
        <v>26.2823493946828</v>
      </c>
    </row>
    <row r="260" spans="1:5" x14ac:dyDescent="0.25">
      <c r="A260" s="120" t="s">
        <v>219</v>
      </c>
      <c r="B260" s="3" t="s">
        <v>33</v>
      </c>
      <c r="C260" s="6" t="s">
        <v>11</v>
      </c>
      <c r="D260" s="114" t="s">
        <v>209</v>
      </c>
      <c r="E260" s="113">
        <v>21.266208062759901</v>
      </c>
    </row>
    <row r="261" spans="1:5" x14ac:dyDescent="0.25">
      <c r="A261" s="120" t="s">
        <v>219</v>
      </c>
      <c r="B261" s="3" t="s">
        <v>33</v>
      </c>
      <c r="C261" s="6" t="s">
        <v>11</v>
      </c>
      <c r="D261" s="114" t="s">
        <v>210</v>
      </c>
      <c r="E261" s="113">
        <v>30.3230678183252</v>
      </c>
    </row>
    <row r="262" spans="1:5" x14ac:dyDescent="0.25">
      <c r="A262" s="120" t="s">
        <v>219</v>
      </c>
      <c r="B262" s="3" t="s">
        <v>33</v>
      </c>
      <c r="C262" s="6" t="s">
        <v>11</v>
      </c>
      <c r="D262" s="114" t="s">
        <v>211</v>
      </c>
      <c r="E262" s="113">
        <v>26.125971521535199</v>
      </c>
    </row>
    <row r="263" spans="1:5" x14ac:dyDescent="0.25">
      <c r="A263" s="120" t="s">
        <v>219</v>
      </c>
      <c r="B263" s="3" t="s">
        <v>33</v>
      </c>
      <c r="C263" s="7" t="s">
        <v>43</v>
      </c>
      <c r="D263" s="114" t="s">
        <v>209</v>
      </c>
      <c r="E263" s="113">
        <v>19.503083605463651</v>
      </c>
    </row>
    <row r="264" spans="1:5" x14ac:dyDescent="0.25">
      <c r="A264" s="120" t="s">
        <v>219</v>
      </c>
      <c r="B264" s="3" t="s">
        <v>33</v>
      </c>
      <c r="C264" s="7" t="s">
        <v>43</v>
      </c>
      <c r="D264" s="114" t="s">
        <v>210</v>
      </c>
      <c r="E264" s="113">
        <v>19.877836416740251</v>
      </c>
    </row>
    <row r="265" spans="1:5" x14ac:dyDescent="0.25">
      <c r="A265" s="120" t="s">
        <v>219</v>
      </c>
      <c r="B265" s="3" t="s">
        <v>33</v>
      </c>
      <c r="C265" s="7" t="s">
        <v>43</v>
      </c>
      <c r="D265" s="114" t="s">
        <v>211</v>
      </c>
      <c r="E265" s="113">
        <v>23.573441429976647</v>
      </c>
    </row>
    <row r="266" spans="1:5" x14ac:dyDescent="0.25">
      <c r="A266" s="120" t="s">
        <v>219</v>
      </c>
      <c r="B266" s="3" t="s">
        <v>33</v>
      </c>
      <c r="C266" s="7" t="s">
        <v>43</v>
      </c>
      <c r="D266" s="114" t="s">
        <v>209</v>
      </c>
      <c r="E266" s="113">
        <v>22.303739634366153</v>
      </c>
    </row>
    <row r="267" spans="1:5" x14ac:dyDescent="0.25">
      <c r="A267" s="120" t="s">
        <v>219</v>
      </c>
      <c r="B267" s="3" t="s">
        <v>33</v>
      </c>
      <c r="C267" s="7" t="s">
        <v>43</v>
      </c>
      <c r="D267" s="114" t="s">
        <v>210</v>
      </c>
      <c r="E267" s="113">
        <v>18.646513613337753</v>
      </c>
    </row>
    <row r="268" spans="1:5" x14ac:dyDescent="0.25">
      <c r="A268" s="120" t="s">
        <v>219</v>
      </c>
      <c r="B268" s="3" t="s">
        <v>33</v>
      </c>
      <c r="C268" s="7" t="s">
        <v>43</v>
      </c>
      <c r="D268" s="114" t="s">
        <v>211</v>
      </c>
      <c r="E268" s="113">
        <v>18.94865335003</v>
      </c>
    </row>
    <row r="269" spans="1:5" x14ac:dyDescent="0.25">
      <c r="A269" s="120" t="s">
        <v>219</v>
      </c>
      <c r="B269" s="3" t="s">
        <v>33</v>
      </c>
      <c r="C269" s="7" t="s">
        <v>43</v>
      </c>
      <c r="D269" s="114" t="s">
        <v>209</v>
      </c>
      <c r="E269" s="113">
        <v>17.757426833837499</v>
      </c>
    </row>
    <row r="270" spans="1:5" x14ac:dyDescent="0.25">
      <c r="A270" s="120" t="s">
        <v>219</v>
      </c>
      <c r="B270" s="3" t="s">
        <v>33</v>
      </c>
      <c r="C270" s="7" t="s">
        <v>43</v>
      </c>
      <c r="D270" s="114" t="s">
        <v>210</v>
      </c>
      <c r="E270" s="113">
        <v>18.755684047632052</v>
      </c>
    </row>
    <row r="271" spans="1:5" x14ac:dyDescent="0.25">
      <c r="A271" s="120" t="s">
        <v>219</v>
      </c>
      <c r="B271" s="108" t="s">
        <v>33</v>
      </c>
      <c r="C271" s="104" t="s">
        <v>43</v>
      </c>
      <c r="D271" s="115" t="s">
        <v>211</v>
      </c>
      <c r="E271" s="116">
        <v>21.999947830669299</v>
      </c>
    </row>
    <row r="272" spans="1:5" x14ac:dyDescent="0.25">
      <c r="A272" s="109" t="s">
        <v>95</v>
      </c>
      <c r="B272" s="105" t="s">
        <v>10</v>
      </c>
      <c r="C272" s="103" t="s">
        <v>11</v>
      </c>
      <c r="D272" s="112" t="s">
        <v>209</v>
      </c>
      <c r="E272" s="117">
        <v>24.14</v>
      </c>
    </row>
    <row r="273" spans="1:5" x14ac:dyDescent="0.25">
      <c r="A273" s="110" t="s">
        <v>95</v>
      </c>
      <c r="B273" s="5" t="s">
        <v>10</v>
      </c>
      <c r="C273" s="6" t="s">
        <v>11</v>
      </c>
      <c r="D273" s="114" t="s">
        <v>210</v>
      </c>
      <c r="E273" s="117">
        <v>21.57</v>
      </c>
    </row>
    <row r="274" spans="1:5" x14ac:dyDescent="0.25">
      <c r="A274" s="110" t="s">
        <v>95</v>
      </c>
      <c r="B274" s="5" t="s">
        <v>10</v>
      </c>
      <c r="C274" s="6" t="s">
        <v>11</v>
      </c>
      <c r="D274" s="114" t="s">
        <v>211</v>
      </c>
      <c r="E274" s="117">
        <v>28.42</v>
      </c>
    </row>
    <row r="275" spans="1:5" x14ac:dyDescent="0.25">
      <c r="A275" s="110" t="s">
        <v>95</v>
      </c>
      <c r="B275" s="5" t="s">
        <v>10</v>
      </c>
      <c r="C275" s="6" t="s">
        <v>11</v>
      </c>
      <c r="D275" s="114" t="s">
        <v>209</v>
      </c>
      <c r="E275" s="117">
        <v>21.96</v>
      </c>
    </row>
    <row r="276" spans="1:5" x14ac:dyDescent="0.25">
      <c r="A276" s="110" t="s">
        <v>95</v>
      </c>
      <c r="B276" s="5" t="s">
        <v>10</v>
      </c>
      <c r="C276" s="6" t="s">
        <v>11</v>
      </c>
      <c r="D276" s="114" t="s">
        <v>210</v>
      </c>
      <c r="E276" s="117">
        <v>20.23</v>
      </c>
    </row>
    <row r="277" spans="1:5" x14ac:dyDescent="0.25">
      <c r="A277" s="110" t="s">
        <v>95</v>
      </c>
      <c r="B277" s="5" t="s">
        <v>10</v>
      </c>
      <c r="C277" s="6" t="s">
        <v>11</v>
      </c>
      <c r="D277" s="114" t="s">
        <v>211</v>
      </c>
      <c r="E277" s="117">
        <v>28.57</v>
      </c>
    </row>
    <row r="278" spans="1:5" x14ac:dyDescent="0.25">
      <c r="A278" s="110" t="s">
        <v>95</v>
      </c>
      <c r="B278" s="5" t="s">
        <v>10</v>
      </c>
      <c r="C278" s="6" t="s">
        <v>11</v>
      </c>
      <c r="D278" s="114" t="s">
        <v>209</v>
      </c>
      <c r="E278" s="117">
        <v>27.56</v>
      </c>
    </row>
    <row r="279" spans="1:5" x14ac:dyDescent="0.25">
      <c r="A279" s="110" t="s">
        <v>95</v>
      </c>
      <c r="B279" s="5" t="s">
        <v>10</v>
      </c>
      <c r="C279" s="6" t="s">
        <v>11</v>
      </c>
      <c r="D279" s="114" t="s">
        <v>210</v>
      </c>
      <c r="E279" s="117">
        <v>21.6</v>
      </c>
    </row>
    <row r="280" spans="1:5" x14ac:dyDescent="0.25">
      <c r="A280" s="110" t="s">
        <v>95</v>
      </c>
      <c r="B280" s="5" t="s">
        <v>10</v>
      </c>
      <c r="C280" s="6" t="s">
        <v>11</v>
      </c>
      <c r="D280" s="114" t="s">
        <v>211</v>
      </c>
      <c r="E280" s="117">
        <v>27.05</v>
      </c>
    </row>
    <row r="281" spans="1:5" x14ac:dyDescent="0.25">
      <c r="A281" s="110" t="s">
        <v>95</v>
      </c>
      <c r="B281" s="5" t="s">
        <v>10</v>
      </c>
      <c r="C281" s="7" t="s">
        <v>43</v>
      </c>
      <c r="D281" s="114" t="s">
        <v>209</v>
      </c>
      <c r="E281" s="117">
        <v>20.38</v>
      </c>
    </row>
    <row r="282" spans="1:5" x14ac:dyDescent="0.25">
      <c r="A282" s="110" t="s">
        <v>95</v>
      </c>
      <c r="B282" s="5" t="s">
        <v>10</v>
      </c>
      <c r="C282" s="7" t="s">
        <v>43</v>
      </c>
      <c r="D282" s="114" t="s">
        <v>210</v>
      </c>
      <c r="E282" s="117">
        <v>19.98</v>
      </c>
    </row>
    <row r="283" spans="1:5" x14ac:dyDescent="0.25">
      <c r="A283" s="110" t="s">
        <v>95</v>
      </c>
      <c r="B283" s="5" t="s">
        <v>10</v>
      </c>
      <c r="C283" s="7" t="s">
        <v>43</v>
      </c>
      <c r="D283" s="114" t="s">
        <v>211</v>
      </c>
      <c r="E283" s="117">
        <v>24.52</v>
      </c>
    </row>
    <row r="284" spans="1:5" x14ac:dyDescent="0.25">
      <c r="A284" s="110" t="s">
        <v>95</v>
      </c>
      <c r="B284" s="5" t="s">
        <v>10</v>
      </c>
      <c r="C284" s="7" t="s">
        <v>43</v>
      </c>
      <c r="D284" s="114" t="s">
        <v>209</v>
      </c>
      <c r="E284" s="117">
        <v>22.14</v>
      </c>
    </row>
    <row r="285" spans="1:5" x14ac:dyDescent="0.25">
      <c r="A285" s="110" t="s">
        <v>95</v>
      </c>
      <c r="B285" s="5" t="s">
        <v>10</v>
      </c>
      <c r="C285" s="7" t="s">
        <v>43</v>
      </c>
      <c r="D285" s="114" t="s">
        <v>210</v>
      </c>
      <c r="E285" s="117">
        <v>22.18</v>
      </c>
    </row>
    <row r="286" spans="1:5" x14ac:dyDescent="0.25">
      <c r="A286" s="110" t="s">
        <v>95</v>
      </c>
      <c r="B286" s="5" t="s">
        <v>10</v>
      </c>
      <c r="C286" s="7" t="s">
        <v>43</v>
      </c>
      <c r="D286" s="114" t="s">
        <v>211</v>
      </c>
      <c r="E286" s="117">
        <v>30.74</v>
      </c>
    </row>
    <row r="287" spans="1:5" x14ac:dyDescent="0.25">
      <c r="A287" s="110" t="s">
        <v>95</v>
      </c>
      <c r="B287" s="5" t="s">
        <v>10</v>
      </c>
      <c r="C287" s="7" t="s">
        <v>43</v>
      </c>
      <c r="D287" s="114" t="s">
        <v>209</v>
      </c>
      <c r="E287" s="117">
        <v>33.01</v>
      </c>
    </row>
    <row r="288" spans="1:5" x14ac:dyDescent="0.25">
      <c r="A288" s="110" t="s">
        <v>95</v>
      </c>
      <c r="B288" s="5" t="s">
        <v>10</v>
      </c>
      <c r="C288" s="7" t="s">
        <v>43</v>
      </c>
      <c r="D288" s="114" t="s">
        <v>210</v>
      </c>
      <c r="E288" s="117">
        <v>30.9</v>
      </c>
    </row>
    <row r="289" spans="1:5" x14ac:dyDescent="0.25">
      <c r="A289" s="110" t="s">
        <v>95</v>
      </c>
      <c r="B289" s="5" t="s">
        <v>10</v>
      </c>
      <c r="C289" s="7" t="s">
        <v>43</v>
      </c>
      <c r="D289" s="114" t="s">
        <v>211</v>
      </c>
      <c r="E289" s="117">
        <v>30.62</v>
      </c>
    </row>
    <row r="290" spans="1:5" x14ac:dyDescent="0.25">
      <c r="A290" s="110" t="s">
        <v>95</v>
      </c>
      <c r="B290" s="4" t="s">
        <v>23</v>
      </c>
      <c r="C290" s="6" t="s">
        <v>11</v>
      </c>
      <c r="D290" s="114" t="s">
        <v>209</v>
      </c>
      <c r="E290" s="117">
        <v>27.1</v>
      </c>
    </row>
    <row r="291" spans="1:5" x14ac:dyDescent="0.25">
      <c r="A291" s="110" t="s">
        <v>95</v>
      </c>
      <c r="B291" s="4" t="s">
        <v>23</v>
      </c>
      <c r="C291" s="6" t="s">
        <v>11</v>
      </c>
      <c r="D291" s="114" t="s">
        <v>210</v>
      </c>
      <c r="E291" s="117">
        <v>20.309999999999999</v>
      </c>
    </row>
    <row r="292" spans="1:5" x14ac:dyDescent="0.25">
      <c r="A292" s="110" t="s">
        <v>95</v>
      </c>
      <c r="B292" s="4" t="s">
        <v>23</v>
      </c>
      <c r="C292" s="6" t="s">
        <v>11</v>
      </c>
      <c r="D292" s="114" t="s">
        <v>211</v>
      </c>
      <c r="E292" s="117">
        <v>28.65</v>
      </c>
    </row>
    <row r="293" spans="1:5" x14ac:dyDescent="0.25">
      <c r="A293" s="110" t="s">
        <v>95</v>
      </c>
      <c r="B293" s="4" t="s">
        <v>23</v>
      </c>
      <c r="C293" s="6" t="s">
        <v>11</v>
      </c>
      <c r="D293" s="114" t="s">
        <v>209</v>
      </c>
      <c r="E293" s="117">
        <v>21.81</v>
      </c>
    </row>
    <row r="294" spans="1:5" x14ac:dyDescent="0.25">
      <c r="A294" s="110" t="s">
        <v>95</v>
      </c>
      <c r="B294" s="4" t="s">
        <v>23</v>
      </c>
      <c r="C294" s="6" t="s">
        <v>11</v>
      </c>
      <c r="D294" s="114" t="s">
        <v>210</v>
      </c>
      <c r="E294" s="117">
        <v>19.79</v>
      </c>
    </row>
    <row r="295" spans="1:5" x14ac:dyDescent="0.25">
      <c r="A295" s="110" t="s">
        <v>95</v>
      </c>
      <c r="B295" s="4" t="s">
        <v>23</v>
      </c>
      <c r="C295" s="6" t="s">
        <v>11</v>
      </c>
      <c r="D295" s="114" t="s">
        <v>211</v>
      </c>
      <c r="E295" s="117">
        <v>28.11</v>
      </c>
    </row>
    <row r="296" spans="1:5" x14ac:dyDescent="0.25">
      <c r="A296" s="110" t="s">
        <v>95</v>
      </c>
      <c r="B296" s="4" t="s">
        <v>23</v>
      </c>
      <c r="C296" s="6" t="s">
        <v>11</v>
      </c>
      <c r="D296" s="114" t="s">
        <v>209</v>
      </c>
      <c r="E296" s="117">
        <v>26.15</v>
      </c>
    </row>
    <row r="297" spans="1:5" x14ac:dyDescent="0.25">
      <c r="A297" s="110" t="s">
        <v>95</v>
      </c>
      <c r="B297" s="4" t="s">
        <v>23</v>
      </c>
      <c r="C297" s="6" t="s">
        <v>11</v>
      </c>
      <c r="D297" s="114" t="s">
        <v>210</v>
      </c>
      <c r="E297" s="117">
        <v>20.309999999999999</v>
      </c>
    </row>
    <row r="298" spans="1:5" x14ac:dyDescent="0.25">
      <c r="A298" s="110" t="s">
        <v>95</v>
      </c>
      <c r="B298" s="4" t="s">
        <v>23</v>
      </c>
      <c r="C298" s="6" t="s">
        <v>11</v>
      </c>
      <c r="D298" s="114" t="s">
        <v>211</v>
      </c>
      <c r="E298" s="117">
        <v>28.63</v>
      </c>
    </row>
    <row r="299" spans="1:5" x14ac:dyDescent="0.25">
      <c r="A299" s="110" t="s">
        <v>95</v>
      </c>
      <c r="B299" s="4" t="s">
        <v>23</v>
      </c>
      <c r="C299" s="7" t="s">
        <v>43</v>
      </c>
      <c r="D299" s="114" t="s">
        <v>209</v>
      </c>
      <c r="E299" s="117">
        <v>32.32</v>
      </c>
    </row>
    <row r="300" spans="1:5" x14ac:dyDescent="0.25">
      <c r="A300" s="110" t="s">
        <v>95</v>
      </c>
      <c r="B300" s="4" t="s">
        <v>23</v>
      </c>
      <c r="C300" s="7" t="s">
        <v>43</v>
      </c>
      <c r="D300" s="114" t="s">
        <v>210</v>
      </c>
      <c r="E300" s="117">
        <v>24.23</v>
      </c>
    </row>
    <row r="301" spans="1:5" x14ac:dyDescent="0.25">
      <c r="A301" s="110" t="s">
        <v>95</v>
      </c>
      <c r="B301" s="4" t="s">
        <v>23</v>
      </c>
      <c r="C301" s="7" t="s">
        <v>43</v>
      </c>
      <c r="D301" s="114" t="s">
        <v>211</v>
      </c>
      <c r="E301" s="117">
        <v>33.75</v>
      </c>
    </row>
    <row r="302" spans="1:5" x14ac:dyDescent="0.25">
      <c r="A302" s="110" t="s">
        <v>95</v>
      </c>
      <c r="B302" s="4" t="s">
        <v>23</v>
      </c>
      <c r="C302" s="7" t="s">
        <v>43</v>
      </c>
      <c r="D302" s="114" t="s">
        <v>209</v>
      </c>
      <c r="E302" s="117">
        <v>25.75</v>
      </c>
    </row>
    <row r="303" spans="1:5" x14ac:dyDescent="0.25">
      <c r="A303" s="110" t="s">
        <v>95</v>
      </c>
      <c r="B303" s="4" t="s">
        <v>23</v>
      </c>
      <c r="C303" s="7" t="s">
        <v>43</v>
      </c>
      <c r="D303" s="114" t="s">
        <v>210</v>
      </c>
      <c r="E303" s="117">
        <v>24.35</v>
      </c>
    </row>
    <row r="304" spans="1:5" x14ac:dyDescent="0.25">
      <c r="A304" s="110" t="s">
        <v>95</v>
      </c>
      <c r="B304" s="4" t="s">
        <v>23</v>
      </c>
      <c r="C304" s="7" t="s">
        <v>43</v>
      </c>
      <c r="D304" s="114" t="s">
        <v>211</v>
      </c>
      <c r="E304" s="117">
        <v>32.39</v>
      </c>
    </row>
    <row r="305" spans="1:5" x14ac:dyDescent="0.25">
      <c r="A305" s="110" t="s">
        <v>95</v>
      </c>
      <c r="B305" s="4" t="s">
        <v>23</v>
      </c>
      <c r="C305" s="7" t="s">
        <v>43</v>
      </c>
      <c r="D305" s="114" t="s">
        <v>209</v>
      </c>
      <c r="E305" s="117">
        <v>31.09</v>
      </c>
    </row>
    <row r="306" spans="1:5" x14ac:dyDescent="0.25">
      <c r="A306" s="110" t="s">
        <v>95</v>
      </c>
      <c r="B306" s="4" t="s">
        <v>23</v>
      </c>
      <c r="C306" s="7" t="s">
        <v>43</v>
      </c>
      <c r="D306" s="114" t="s">
        <v>210</v>
      </c>
      <c r="E306" s="117">
        <v>23.5</v>
      </c>
    </row>
    <row r="307" spans="1:5" x14ac:dyDescent="0.25">
      <c r="A307" s="110" t="s">
        <v>95</v>
      </c>
      <c r="B307" s="4" t="s">
        <v>23</v>
      </c>
      <c r="C307" s="7" t="s">
        <v>43</v>
      </c>
      <c r="D307" s="114" t="s">
        <v>211</v>
      </c>
      <c r="E307" s="117">
        <v>30.41</v>
      </c>
    </row>
    <row r="308" spans="1:5" x14ac:dyDescent="0.25">
      <c r="A308" s="110" t="s">
        <v>95</v>
      </c>
      <c r="B308" s="3" t="s">
        <v>33</v>
      </c>
      <c r="C308" s="6" t="s">
        <v>11</v>
      </c>
      <c r="D308" s="114" t="s">
        <v>209</v>
      </c>
      <c r="E308" s="117">
        <v>26.2</v>
      </c>
    </row>
    <row r="309" spans="1:5" x14ac:dyDescent="0.25">
      <c r="A309" s="110" t="s">
        <v>95</v>
      </c>
      <c r="B309" s="3" t="s">
        <v>33</v>
      </c>
      <c r="C309" s="6" t="s">
        <v>11</v>
      </c>
      <c r="D309" s="114" t="s">
        <v>210</v>
      </c>
      <c r="E309" s="117">
        <v>22.84</v>
      </c>
    </row>
    <row r="310" spans="1:5" x14ac:dyDescent="0.25">
      <c r="A310" s="110" t="s">
        <v>95</v>
      </c>
      <c r="B310" s="3" t="s">
        <v>33</v>
      </c>
      <c r="C310" s="6" t="s">
        <v>11</v>
      </c>
      <c r="D310" s="114" t="s">
        <v>211</v>
      </c>
      <c r="E310" s="117">
        <v>29.64</v>
      </c>
    </row>
    <row r="311" spans="1:5" x14ac:dyDescent="0.25">
      <c r="A311" s="110" t="s">
        <v>95</v>
      </c>
      <c r="B311" s="3" t="s">
        <v>33</v>
      </c>
      <c r="C311" s="6" t="s">
        <v>11</v>
      </c>
      <c r="D311" s="114" t="s">
        <v>209</v>
      </c>
      <c r="E311" s="117">
        <v>21.53</v>
      </c>
    </row>
    <row r="312" spans="1:5" x14ac:dyDescent="0.25">
      <c r="A312" s="110" t="s">
        <v>95</v>
      </c>
      <c r="B312" s="3" t="s">
        <v>33</v>
      </c>
      <c r="C312" s="6" t="s">
        <v>11</v>
      </c>
      <c r="D312" s="114" t="s">
        <v>210</v>
      </c>
      <c r="E312" s="117">
        <v>20.05</v>
      </c>
    </row>
    <row r="313" spans="1:5" x14ac:dyDescent="0.25">
      <c r="A313" s="110" t="s">
        <v>95</v>
      </c>
      <c r="B313" s="3" t="s">
        <v>33</v>
      </c>
      <c r="C313" s="6" t="s">
        <v>11</v>
      </c>
      <c r="D313" s="114" t="s">
        <v>211</v>
      </c>
      <c r="E313" s="117">
        <v>31.05</v>
      </c>
    </row>
    <row r="314" spans="1:5" x14ac:dyDescent="0.25">
      <c r="A314" s="110" t="s">
        <v>95</v>
      </c>
      <c r="B314" s="3" t="s">
        <v>33</v>
      </c>
      <c r="C314" s="6" t="s">
        <v>11</v>
      </c>
      <c r="D314" s="114" t="s">
        <v>209</v>
      </c>
      <c r="E314" s="117">
        <v>25.08</v>
      </c>
    </row>
    <row r="315" spans="1:5" x14ac:dyDescent="0.25">
      <c r="A315" s="110" t="s">
        <v>95</v>
      </c>
      <c r="B315" s="3" t="s">
        <v>33</v>
      </c>
      <c r="C315" s="6" t="s">
        <v>11</v>
      </c>
      <c r="D315" s="114" t="s">
        <v>210</v>
      </c>
      <c r="E315" s="117">
        <v>30.84</v>
      </c>
    </row>
    <row r="316" spans="1:5" x14ac:dyDescent="0.25">
      <c r="A316" s="110" t="s">
        <v>95</v>
      </c>
      <c r="B316" s="3" t="s">
        <v>33</v>
      </c>
      <c r="C316" s="6" t="s">
        <v>11</v>
      </c>
      <c r="D316" s="114" t="s">
        <v>211</v>
      </c>
      <c r="E316" s="117">
        <v>30.7</v>
      </c>
    </row>
    <row r="317" spans="1:5" x14ac:dyDescent="0.25">
      <c r="A317" s="110" t="s">
        <v>95</v>
      </c>
      <c r="B317" s="3" t="s">
        <v>33</v>
      </c>
      <c r="C317" s="7" t="s">
        <v>43</v>
      </c>
      <c r="D317" s="114" t="s">
        <v>209</v>
      </c>
      <c r="E317" s="117">
        <v>24.33</v>
      </c>
    </row>
    <row r="318" spans="1:5" x14ac:dyDescent="0.25">
      <c r="A318" s="110" t="s">
        <v>95</v>
      </c>
      <c r="B318" s="3" t="s">
        <v>33</v>
      </c>
      <c r="C318" s="7" t="s">
        <v>43</v>
      </c>
      <c r="D318" s="114" t="s">
        <v>210</v>
      </c>
      <c r="E318" s="117">
        <v>23.87</v>
      </c>
    </row>
    <row r="319" spans="1:5" x14ac:dyDescent="0.25">
      <c r="A319" s="110" t="s">
        <v>95</v>
      </c>
      <c r="B319" s="3" t="s">
        <v>33</v>
      </c>
      <c r="C319" s="7" t="s">
        <v>43</v>
      </c>
      <c r="D319" s="114" t="s">
        <v>211</v>
      </c>
      <c r="E319" s="117">
        <v>30.6</v>
      </c>
    </row>
    <row r="320" spans="1:5" x14ac:dyDescent="0.25">
      <c r="A320" s="110" t="s">
        <v>95</v>
      </c>
      <c r="B320" s="3" t="s">
        <v>33</v>
      </c>
      <c r="C320" s="7" t="s">
        <v>43</v>
      </c>
      <c r="D320" s="114" t="s">
        <v>209</v>
      </c>
      <c r="E320" s="117">
        <v>27.45</v>
      </c>
    </row>
    <row r="321" spans="1:5" x14ac:dyDescent="0.25">
      <c r="A321" s="110" t="s">
        <v>95</v>
      </c>
      <c r="B321" s="3" t="s">
        <v>33</v>
      </c>
      <c r="C321" s="7" t="s">
        <v>43</v>
      </c>
      <c r="D321" s="114" t="s">
        <v>210</v>
      </c>
      <c r="E321" s="117">
        <v>21.52</v>
      </c>
    </row>
    <row r="322" spans="1:5" x14ac:dyDescent="0.25">
      <c r="A322" s="110" t="s">
        <v>95</v>
      </c>
      <c r="B322" s="3" t="s">
        <v>33</v>
      </c>
      <c r="C322" s="7" t="s">
        <v>43</v>
      </c>
      <c r="D322" s="114" t="s">
        <v>211</v>
      </c>
      <c r="E322" s="117">
        <v>24.08</v>
      </c>
    </row>
    <row r="323" spans="1:5" x14ac:dyDescent="0.25">
      <c r="A323" s="110" t="s">
        <v>95</v>
      </c>
      <c r="B323" s="3" t="s">
        <v>33</v>
      </c>
      <c r="C323" s="7" t="s">
        <v>43</v>
      </c>
      <c r="D323" s="114" t="s">
        <v>209</v>
      </c>
      <c r="E323" s="117">
        <v>21.34</v>
      </c>
    </row>
    <row r="324" spans="1:5" x14ac:dyDescent="0.25">
      <c r="A324" s="110" t="s">
        <v>95</v>
      </c>
      <c r="B324" s="3" t="s">
        <v>33</v>
      </c>
      <c r="C324" s="7" t="s">
        <v>43</v>
      </c>
      <c r="D324" s="114" t="s">
        <v>210</v>
      </c>
      <c r="E324" s="117">
        <v>20.76</v>
      </c>
    </row>
    <row r="325" spans="1:5" x14ac:dyDescent="0.25">
      <c r="A325" s="110" t="s">
        <v>95</v>
      </c>
      <c r="B325" s="108" t="s">
        <v>33</v>
      </c>
      <c r="C325" s="104" t="s">
        <v>43</v>
      </c>
      <c r="D325" s="115" t="s">
        <v>211</v>
      </c>
      <c r="E325" s="118">
        <v>26.71</v>
      </c>
    </row>
    <row r="326" spans="1:5" x14ac:dyDescent="0.25">
      <c r="A326" s="109" t="s">
        <v>122</v>
      </c>
      <c r="B326" s="105" t="s">
        <v>10</v>
      </c>
      <c r="C326" s="103" t="s">
        <v>11</v>
      </c>
      <c r="D326" s="112" t="s">
        <v>209</v>
      </c>
      <c r="E326" s="117">
        <v>23.32</v>
      </c>
    </row>
    <row r="327" spans="1:5" x14ac:dyDescent="0.25">
      <c r="A327" s="110" t="s">
        <v>122</v>
      </c>
      <c r="B327" s="5" t="s">
        <v>10</v>
      </c>
      <c r="C327" s="6" t="s">
        <v>11</v>
      </c>
      <c r="D327" s="114" t="s">
        <v>210</v>
      </c>
      <c r="E327" s="117">
        <v>21.24</v>
      </c>
    </row>
    <row r="328" spans="1:5" x14ac:dyDescent="0.25">
      <c r="A328" s="110" t="s">
        <v>122</v>
      </c>
      <c r="B328" s="5" t="s">
        <v>10</v>
      </c>
      <c r="C328" s="6" t="s">
        <v>11</v>
      </c>
      <c r="D328" s="114" t="s">
        <v>211</v>
      </c>
      <c r="E328" s="117">
        <v>27.02</v>
      </c>
    </row>
    <row r="329" spans="1:5" x14ac:dyDescent="0.25">
      <c r="A329" s="110" t="s">
        <v>122</v>
      </c>
      <c r="B329" s="5" t="s">
        <v>10</v>
      </c>
      <c r="C329" s="6" t="s">
        <v>11</v>
      </c>
      <c r="D329" s="114" t="s">
        <v>209</v>
      </c>
      <c r="E329" s="117">
        <v>21.3</v>
      </c>
    </row>
    <row r="330" spans="1:5" x14ac:dyDescent="0.25">
      <c r="A330" s="110" t="s">
        <v>122</v>
      </c>
      <c r="B330" s="5" t="s">
        <v>10</v>
      </c>
      <c r="C330" s="6" t="s">
        <v>11</v>
      </c>
      <c r="D330" s="114" t="s">
        <v>210</v>
      </c>
      <c r="E330" s="117">
        <v>20.05</v>
      </c>
    </row>
    <row r="331" spans="1:5" x14ac:dyDescent="0.25">
      <c r="A331" s="110" t="s">
        <v>122</v>
      </c>
      <c r="B331" s="5" t="s">
        <v>10</v>
      </c>
      <c r="C331" s="6" t="s">
        <v>11</v>
      </c>
      <c r="D331" s="114" t="s">
        <v>211</v>
      </c>
      <c r="E331" s="117">
        <v>28.22</v>
      </c>
    </row>
    <row r="332" spans="1:5" x14ac:dyDescent="0.25">
      <c r="A332" s="110" t="s">
        <v>122</v>
      </c>
      <c r="B332" s="5" t="s">
        <v>10</v>
      </c>
      <c r="C332" s="6" t="s">
        <v>11</v>
      </c>
      <c r="D332" s="114" t="s">
        <v>209</v>
      </c>
      <c r="E332" s="117">
        <v>21.29</v>
      </c>
    </row>
    <row r="333" spans="1:5" x14ac:dyDescent="0.25">
      <c r="A333" s="110" t="s">
        <v>122</v>
      </c>
      <c r="B333" s="5" t="s">
        <v>10</v>
      </c>
      <c r="C333" s="6" t="s">
        <v>11</v>
      </c>
      <c r="D333" s="114" t="s">
        <v>210</v>
      </c>
      <c r="E333" s="117">
        <v>21.14</v>
      </c>
    </row>
    <row r="334" spans="1:5" x14ac:dyDescent="0.25">
      <c r="A334" s="110" t="s">
        <v>122</v>
      </c>
      <c r="B334" s="5" t="s">
        <v>10</v>
      </c>
      <c r="C334" s="6" t="s">
        <v>11</v>
      </c>
      <c r="D334" s="114" t="s">
        <v>211</v>
      </c>
      <c r="E334" s="117">
        <v>25.05</v>
      </c>
    </row>
    <row r="335" spans="1:5" x14ac:dyDescent="0.25">
      <c r="A335" s="110" t="s">
        <v>122</v>
      </c>
      <c r="B335" s="5" t="s">
        <v>10</v>
      </c>
      <c r="C335" s="7" t="s">
        <v>43</v>
      </c>
      <c r="D335" s="114" t="s">
        <v>209</v>
      </c>
      <c r="E335" s="117">
        <v>21.03</v>
      </c>
    </row>
    <row r="336" spans="1:5" x14ac:dyDescent="0.25">
      <c r="A336" s="110" t="s">
        <v>122</v>
      </c>
      <c r="B336" s="5" t="s">
        <v>10</v>
      </c>
      <c r="C336" s="7" t="s">
        <v>43</v>
      </c>
      <c r="D336" s="114" t="s">
        <v>210</v>
      </c>
      <c r="E336" s="117">
        <v>19.57</v>
      </c>
    </row>
    <row r="337" spans="1:5" x14ac:dyDescent="0.25">
      <c r="A337" s="110" t="s">
        <v>122</v>
      </c>
      <c r="B337" s="5" t="s">
        <v>10</v>
      </c>
      <c r="C337" s="7" t="s">
        <v>43</v>
      </c>
      <c r="D337" s="114" t="s">
        <v>211</v>
      </c>
      <c r="E337" s="117">
        <v>23.66</v>
      </c>
    </row>
    <row r="338" spans="1:5" x14ac:dyDescent="0.25">
      <c r="A338" s="110" t="s">
        <v>122</v>
      </c>
      <c r="B338" s="5" t="s">
        <v>10</v>
      </c>
      <c r="C338" s="7" t="s">
        <v>43</v>
      </c>
      <c r="D338" s="114" t="s">
        <v>209</v>
      </c>
      <c r="E338" s="117">
        <v>21.86</v>
      </c>
    </row>
    <row r="339" spans="1:5" x14ac:dyDescent="0.25">
      <c r="A339" s="110" t="s">
        <v>122</v>
      </c>
      <c r="B339" s="5" t="s">
        <v>10</v>
      </c>
      <c r="C339" s="7" t="s">
        <v>43</v>
      </c>
      <c r="D339" s="114" t="s">
        <v>210</v>
      </c>
      <c r="E339" s="117">
        <v>20.94</v>
      </c>
    </row>
    <row r="340" spans="1:5" x14ac:dyDescent="0.25">
      <c r="A340" s="110" t="s">
        <v>122</v>
      </c>
      <c r="B340" s="5" t="s">
        <v>10</v>
      </c>
      <c r="C340" s="7" t="s">
        <v>43</v>
      </c>
      <c r="D340" s="114" t="s">
        <v>211</v>
      </c>
      <c r="E340" s="117">
        <v>30.39</v>
      </c>
    </row>
    <row r="341" spans="1:5" x14ac:dyDescent="0.25">
      <c r="A341" s="110" t="s">
        <v>122</v>
      </c>
      <c r="B341" s="5" t="s">
        <v>10</v>
      </c>
      <c r="C341" s="7" t="s">
        <v>43</v>
      </c>
      <c r="D341" s="114" t="s">
        <v>209</v>
      </c>
      <c r="E341" s="117">
        <v>29.31</v>
      </c>
    </row>
    <row r="342" spans="1:5" x14ac:dyDescent="0.25">
      <c r="A342" s="110" t="s">
        <v>122</v>
      </c>
      <c r="B342" s="5" t="s">
        <v>10</v>
      </c>
      <c r="C342" s="7" t="s">
        <v>43</v>
      </c>
      <c r="D342" s="114" t="s">
        <v>210</v>
      </c>
      <c r="E342" s="117">
        <v>22.27</v>
      </c>
    </row>
    <row r="343" spans="1:5" x14ac:dyDescent="0.25">
      <c r="A343" s="110" t="s">
        <v>122</v>
      </c>
      <c r="B343" s="5" t="s">
        <v>10</v>
      </c>
      <c r="C343" s="7" t="s">
        <v>43</v>
      </c>
      <c r="D343" s="114" t="s">
        <v>211</v>
      </c>
      <c r="E343" s="117">
        <v>27.1</v>
      </c>
    </row>
    <row r="344" spans="1:5" x14ac:dyDescent="0.25">
      <c r="A344" s="110" t="s">
        <v>122</v>
      </c>
      <c r="B344" s="4" t="s">
        <v>23</v>
      </c>
      <c r="C344" s="6" t="s">
        <v>11</v>
      </c>
      <c r="D344" s="114" t="s">
        <v>209</v>
      </c>
      <c r="E344" s="117">
        <v>23.17</v>
      </c>
    </row>
    <row r="345" spans="1:5" x14ac:dyDescent="0.25">
      <c r="A345" s="110" t="s">
        <v>122</v>
      </c>
      <c r="B345" s="4" t="s">
        <v>23</v>
      </c>
      <c r="C345" s="6" t="s">
        <v>11</v>
      </c>
      <c r="D345" s="114" t="s">
        <v>210</v>
      </c>
      <c r="E345" s="117">
        <v>27.24</v>
      </c>
    </row>
    <row r="346" spans="1:5" x14ac:dyDescent="0.25">
      <c r="A346" s="110" t="s">
        <v>122</v>
      </c>
      <c r="B346" s="4" t="s">
        <v>23</v>
      </c>
      <c r="C346" s="6" t="s">
        <v>11</v>
      </c>
      <c r="D346" s="114" t="s">
        <v>211</v>
      </c>
      <c r="E346" s="117">
        <v>20.7</v>
      </c>
    </row>
    <row r="347" spans="1:5" x14ac:dyDescent="0.25">
      <c r="A347" s="110" t="s">
        <v>122</v>
      </c>
      <c r="B347" s="4" t="s">
        <v>23</v>
      </c>
      <c r="C347" s="6" t="s">
        <v>11</v>
      </c>
      <c r="D347" s="114" t="s">
        <v>209</v>
      </c>
      <c r="E347" s="117">
        <v>20.65</v>
      </c>
    </row>
    <row r="348" spans="1:5" x14ac:dyDescent="0.25">
      <c r="A348" s="110" t="s">
        <v>122</v>
      </c>
      <c r="B348" s="4" t="s">
        <v>23</v>
      </c>
      <c r="C348" s="6" t="s">
        <v>11</v>
      </c>
      <c r="D348" s="114" t="s">
        <v>210</v>
      </c>
      <c r="E348" s="117">
        <v>19.66</v>
      </c>
    </row>
    <row r="349" spans="1:5" x14ac:dyDescent="0.25">
      <c r="A349" s="110" t="s">
        <v>122</v>
      </c>
      <c r="B349" s="4" t="s">
        <v>23</v>
      </c>
      <c r="C349" s="6" t="s">
        <v>11</v>
      </c>
      <c r="D349" s="114" t="s">
        <v>211</v>
      </c>
      <c r="E349" s="117">
        <v>27.38</v>
      </c>
    </row>
    <row r="350" spans="1:5" x14ac:dyDescent="0.25">
      <c r="A350" s="110" t="s">
        <v>122</v>
      </c>
      <c r="B350" s="4" t="s">
        <v>23</v>
      </c>
      <c r="C350" s="6" t="s">
        <v>11</v>
      </c>
      <c r="D350" s="114" t="s">
        <v>209</v>
      </c>
      <c r="E350" s="117">
        <v>25.43</v>
      </c>
    </row>
    <row r="351" spans="1:5" x14ac:dyDescent="0.25">
      <c r="A351" s="110" t="s">
        <v>122</v>
      </c>
      <c r="B351" s="4" t="s">
        <v>23</v>
      </c>
      <c r="C351" s="6" t="s">
        <v>11</v>
      </c>
      <c r="D351" s="114" t="s">
        <v>210</v>
      </c>
      <c r="E351" s="117">
        <v>20.47</v>
      </c>
    </row>
    <row r="352" spans="1:5" x14ac:dyDescent="0.25">
      <c r="A352" s="110" t="s">
        <v>122</v>
      </c>
      <c r="B352" s="4" t="s">
        <v>23</v>
      </c>
      <c r="C352" s="6" t="s">
        <v>11</v>
      </c>
      <c r="D352" s="114" t="s">
        <v>211</v>
      </c>
      <c r="E352" s="117">
        <v>27.7</v>
      </c>
    </row>
    <row r="353" spans="1:5" x14ac:dyDescent="0.25">
      <c r="A353" s="110" t="s">
        <v>122</v>
      </c>
      <c r="B353" s="4" t="s">
        <v>23</v>
      </c>
      <c r="C353" s="7" t="s">
        <v>43</v>
      </c>
      <c r="D353" s="114" t="s">
        <v>209</v>
      </c>
      <c r="E353" s="117">
        <v>25.18</v>
      </c>
    </row>
    <row r="354" spans="1:5" x14ac:dyDescent="0.25">
      <c r="A354" s="110" t="s">
        <v>122</v>
      </c>
      <c r="B354" s="4" t="s">
        <v>23</v>
      </c>
      <c r="C354" s="7" t="s">
        <v>43</v>
      </c>
      <c r="D354" s="114" t="s">
        <v>210</v>
      </c>
      <c r="E354" s="117">
        <v>21.12</v>
      </c>
    </row>
    <row r="355" spans="1:5" x14ac:dyDescent="0.25">
      <c r="A355" s="110" t="s">
        <v>122</v>
      </c>
      <c r="B355" s="4" t="s">
        <v>23</v>
      </c>
      <c r="C355" s="7" t="s">
        <v>43</v>
      </c>
      <c r="D355" s="114" t="s">
        <v>211</v>
      </c>
      <c r="E355" s="117">
        <v>31.77</v>
      </c>
    </row>
    <row r="356" spans="1:5" x14ac:dyDescent="0.25">
      <c r="A356" s="110" t="s">
        <v>122</v>
      </c>
      <c r="B356" s="4" t="s">
        <v>23</v>
      </c>
      <c r="C356" s="7" t="s">
        <v>43</v>
      </c>
      <c r="D356" s="114" t="s">
        <v>209</v>
      </c>
      <c r="E356" s="117">
        <v>26.33</v>
      </c>
    </row>
    <row r="357" spans="1:5" x14ac:dyDescent="0.25">
      <c r="A357" s="110" t="s">
        <v>122</v>
      </c>
      <c r="B357" s="4" t="s">
        <v>23</v>
      </c>
      <c r="C357" s="7" t="s">
        <v>43</v>
      </c>
      <c r="D357" s="114" t="s">
        <v>210</v>
      </c>
      <c r="E357" s="117">
        <v>22</v>
      </c>
    </row>
    <row r="358" spans="1:5" x14ac:dyDescent="0.25">
      <c r="A358" s="110" t="s">
        <v>122</v>
      </c>
      <c r="B358" s="4" t="s">
        <v>23</v>
      </c>
      <c r="C358" s="7" t="s">
        <v>43</v>
      </c>
      <c r="D358" s="114" t="s">
        <v>211</v>
      </c>
      <c r="E358" s="117">
        <v>27.88</v>
      </c>
    </row>
    <row r="359" spans="1:5" x14ac:dyDescent="0.25">
      <c r="A359" s="110" t="s">
        <v>122</v>
      </c>
      <c r="B359" s="4" t="s">
        <v>23</v>
      </c>
      <c r="C359" s="7" t="s">
        <v>43</v>
      </c>
      <c r="D359" s="114" t="s">
        <v>209</v>
      </c>
      <c r="E359" s="117">
        <v>23.52</v>
      </c>
    </row>
    <row r="360" spans="1:5" x14ac:dyDescent="0.25">
      <c r="A360" s="110" t="s">
        <v>122</v>
      </c>
      <c r="B360" s="4" t="s">
        <v>23</v>
      </c>
      <c r="C360" s="7" t="s">
        <v>43</v>
      </c>
      <c r="D360" s="114" t="s">
        <v>210</v>
      </c>
      <c r="E360" s="117">
        <v>20.2</v>
      </c>
    </row>
    <row r="361" spans="1:5" x14ac:dyDescent="0.25">
      <c r="A361" s="110" t="s">
        <v>122</v>
      </c>
      <c r="B361" s="4" t="s">
        <v>23</v>
      </c>
      <c r="C361" s="7" t="s">
        <v>43</v>
      </c>
      <c r="D361" s="114" t="s">
        <v>211</v>
      </c>
      <c r="E361" s="117">
        <v>26.12</v>
      </c>
    </row>
    <row r="362" spans="1:5" x14ac:dyDescent="0.25">
      <c r="A362" s="110" t="s">
        <v>122</v>
      </c>
      <c r="B362" s="3" t="s">
        <v>33</v>
      </c>
      <c r="C362" s="6" t="s">
        <v>11</v>
      </c>
      <c r="D362" s="114" t="s">
        <v>209</v>
      </c>
      <c r="E362" s="117">
        <v>24.09</v>
      </c>
    </row>
    <row r="363" spans="1:5" x14ac:dyDescent="0.25">
      <c r="A363" s="110" t="s">
        <v>122</v>
      </c>
      <c r="B363" s="3" t="s">
        <v>33</v>
      </c>
      <c r="C363" s="6" t="s">
        <v>11</v>
      </c>
      <c r="D363" s="114" t="s">
        <v>210</v>
      </c>
      <c r="E363" s="117">
        <v>20.97</v>
      </c>
    </row>
    <row r="364" spans="1:5" x14ac:dyDescent="0.25">
      <c r="A364" s="110" t="s">
        <v>122</v>
      </c>
      <c r="B364" s="3" t="s">
        <v>33</v>
      </c>
      <c r="C364" s="6" t="s">
        <v>11</v>
      </c>
      <c r="D364" s="114" t="s">
        <v>211</v>
      </c>
      <c r="E364" s="117">
        <v>25.74</v>
      </c>
    </row>
    <row r="365" spans="1:5" x14ac:dyDescent="0.25">
      <c r="A365" s="110" t="s">
        <v>122</v>
      </c>
      <c r="B365" s="3" t="s">
        <v>33</v>
      </c>
      <c r="C365" s="6" t="s">
        <v>11</v>
      </c>
      <c r="D365" s="114" t="s">
        <v>209</v>
      </c>
      <c r="E365" s="117">
        <v>20.49</v>
      </c>
    </row>
    <row r="366" spans="1:5" x14ac:dyDescent="0.25">
      <c r="A366" s="110" t="s">
        <v>122</v>
      </c>
      <c r="B366" s="3" t="s">
        <v>33</v>
      </c>
      <c r="C366" s="6" t="s">
        <v>11</v>
      </c>
      <c r="D366" s="114" t="s">
        <v>210</v>
      </c>
      <c r="E366" s="117">
        <v>20.62</v>
      </c>
    </row>
    <row r="367" spans="1:5" x14ac:dyDescent="0.25">
      <c r="A367" s="110" t="s">
        <v>122</v>
      </c>
      <c r="B367" s="3" t="s">
        <v>33</v>
      </c>
      <c r="C367" s="6" t="s">
        <v>11</v>
      </c>
      <c r="D367" s="114" t="s">
        <v>211</v>
      </c>
      <c r="E367" s="117">
        <v>29.06</v>
      </c>
    </row>
    <row r="368" spans="1:5" x14ac:dyDescent="0.25">
      <c r="A368" s="110" t="s">
        <v>122</v>
      </c>
      <c r="B368" s="3" t="s">
        <v>33</v>
      </c>
      <c r="C368" s="6" t="s">
        <v>11</v>
      </c>
      <c r="D368" s="114" t="s">
        <v>209</v>
      </c>
      <c r="E368" s="117">
        <v>21.75</v>
      </c>
    </row>
    <row r="369" spans="1:5" x14ac:dyDescent="0.25">
      <c r="A369" s="110" t="s">
        <v>122</v>
      </c>
      <c r="B369" s="3" t="s">
        <v>33</v>
      </c>
      <c r="C369" s="6" t="s">
        <v>11</v>
      </c>
      <c r="D369" s="114" t="s">
        <v>210</v>
      </c>
      <c r="E369" s="117">
        <v>28.26</v>
      </c>
    </row>
    <row r="370" spans="1:5" x14ac:dyDescent="0.25">
      <c r="A370" s="110" t="s">
        <v>122</v>
      </c>
      <c r="B370" s="3" t="s">
        <v>33</v>
      </c>
      <c r="C370" s="6" t="s">
        <v>11</v>
      </c>
      <c r="D370" s="114" t="s">
        <v>211</v>
      </c>
      <c r="E370" s="117">
        <v>28.52</v>
      </c>
    </row>
    <row r="371" spans="1:5" x14ac:dyDescent="0.25">
      <c r="A371" s="110" t="s">
        <v>122</v>
      </c>
      <c r="B371" s="3" t="s">
        <v>33</v>
      </c>
      <c r="C371" s="7" t="s">
        <v>43</v>
      </c>
      <c r="D371" s="114" t="s">
        <v>209</v>
      </c>
      <c r="E371" s="117">
        <v>20.75</v>
      </c>
    </row>
    <row r="372" spans="1:5" x14ac:dyDescent="0.25">
      <c r="A372" s="110" t="s">
        <v>122</v>
      </c>
      <c r="B372" s="3" t="s">
        <v>33</v>
      </c>
      <c r="C372" s="7" t="s">
        <v>43</v>
      </c>
      <c r="D372" s="114" t="s">
        <v>210</v>
      </c>
      <c r="E372" s="117">
        <v>19.5</v>
      </c>
    </row>
    <row r="373" spans="1:5" x14ac:dyDescent="0.25">
      <c r="A373" s="110" t="s">
        <v>122</v>
      </c>
      <c r="B373" s="3" t="s">
        <v>33</v>
      </c>
      <c r="C373" s="7" t="s">
        <v>43</v>
      </c>
      <c r="D373" s="114" t="s">
        <v>211</v>
      </c>
      <c r="E373" s="117">
        <v>24.96</v>
      </c>
    </row>
    <row r="374" spans="1:5" x14ac:dyDescent="0.25">
      <c r="A374" s="110" t="s">
        <v>122</v>
      </c>
      <c r="B374" s="3" t="s">
        <v>33</v>
      </c>
      <c r="C374" s="7" t="s">
        <v>43</v>
      </c>
      <c r="D374" s="114" t="s">
        <v>209</v>
      </c>
      <c r="E374" s="117">
        <v>23.09</v>
      </c>
    </row>
    <row r="375" spans="1:5" x14ac:dyDescent="0.25">
      <c r="A375" s="110" t="s">
        <v>122</v>
      </c>
      <c r="B375" s="3" t="s">
        <v>33</v>
      </c>
      <c r="C375" s="7" t="s">
        <v>43</v>
      </c>
      <c r="D375" s="114" t="s">
        <v>210</v>
      </c>
      <c r="E375" s="117">
        <v>20.67</v>
      </c>
    </row>
    <row r="376" spans="1:5" x14ac:dyDescent="0.25">
      <c r="A376" s="110" t="s">
        <v>122</v>
      </c>
      <c r="B376" s="3" t="s">
        <v>33</v>
      </c>
      <c r="C376" s="7" t="s">
        <v>43</v>
      </c>
      <c r="D376" s="114" t="s">
        <v>211</v>
      </c>
      <c r="E376" s="117">
        <v>22.29</v>
      </c>
    </row>
    <row r="377" spans="1:5" x14ac:dyDescent="0.25">
      <c r="A377" s="110" t="s">
        <v>122</v>
      </c>
      <c r="B377" s="3" t="s">
        <v>33</v>
      </c>
      <c r="C377" s="7" t="s">
        <v>43</v>
      </c>
      <c r="D377" s="114" t="s">
        <v>209</v>
      </c>
      <c r="E377" s="117">
        <v>19.75</v>
      </c>
    </row>
    <row r="378" spans="1:5" x14ac:dyDescent="0.25">
      <c r="A378" s="110" t="s">
        <v>122</v>
      </c>
      <c r="B378" s="3" t="s">
        <v>33</v>
      </c>
      <c r="C378" s="7" t="s">
        <v>43</v>
      </c>
      <c r="D378" s="114" t="s">
        <v>210</v>
      </c>
      <c r="E378" s="117">
        <v>19.25</v>
      </c>
    </row>
    <row r="379" spans="1:5" x14ac:dyDescent="0.25">
      <c r="A379" s="110" t="s">
        <v>122</v>
      </c>
      <c r="B379" s="108" t="s">
        <v>33</v>
      </c>
      <c r="C379" s="104" t="s">
        <v>43</v>
      </c>
      <c r="D379" s="115" t="s">
        <v>211</v>
      </c>
      <c r="E379" s="118">
        <v>24.18</v>
      </c>
    </row>
    <row r="380" spans="1:5" x14ac:dyDescent="0.25">
      <c r="A380" s="109" t="s">
        <v>101</v>
      </c>
      <c r="B380" s="105" t="s">
        <v>10</v>
      </c>
      <c r="C380" s="103" t="s">
        <v>11</v>
      </c>
      <c r="D380" s="112" t="s">
        <v>209</v>
      </c>
      <c r="E380" s="117">
        <v>20.399999999999999</v>
      </c>
    </row>
    <row r="381" spans="1:5" x14ac:dyDescent="0.25">
      <c r="A381" s="110" t="s">
        <v>101</v>
      </c>
      <c r="B381" s="5" t="s">
        <v>10</v>
      </c>
      <c r="C381" s="6" t="s">
        <v>11</v>
      </c>
      <c r="D381" s="114" t="s">
        <v>210</v>
      </c>
      <c r="E381" s="117">
        <v>22.44</v>
      </c>
    </row>
    <row r="382" spans="1:5" x14ac:dyDescent="0.25">
      <c r="A382" s="110" t="s">
        <v>101</v>
      </c>
      <c r="B382" s="5" t="s">
        <v>10</v>
      </c>
      <c r="C382" s="6" t="s">
        <v>11</v>
      </c>
      <c r="D382" s="114" t="s">
        <v>211</v>
      </c>
      <c r="E382" s="117">
        <v>33.659999999999997</v>
      </c>
    </row>
    <row r="383" spans="1:5" x14ac:dyDescent="0.25">
      <c r="A383" s="110" t="s">
        <v>101</v>
      </c>
      <c r="B383" s="5" t="s">
        <v>10</v>
      </c>
      <c r="C383" s="6" t="s">
        <v>11</v>
      </c>
      <c r="D383" s="114" t="s">
        <v>209</v>
      </c>
      <c r="E383" s="117">
        <v>24.68</v>
      </c>
    </row>
    <row r="384" spans="1:5" x14ac:dyDescent="0.25">
      <c r="A384" s="110" t="s">
        <v>101</v>
      </c>
      <c r="B384" s="5" t="s">
        <v>10</v>
      </c>
      <c r="C384" s="6" t="s">
        <v>11</v>
      </c>
      <c r="D384" s="114" t="s">
        <v>210</v>
      </c>
      <c r="E384" s="117">
        <v>21.48</v>
      </c>
    </row>
    <row r="385" spans="1:5" x14ac:dyDescent="0.25">
      <c r="A385" s="110" t="s">
        <v>101</v>
      </c>
      <c r="B385" s="5" t="s">
        <v>10</v>
      </c>
      <c r="C385" s="6" t="s">
        <v>11</v>
      </c>
      <c r="D385" s="114" t="s">
        <v>211</v>
      </c>
      <c r="E385" s="117">
        <v>32.83</v>
      </c>
    </row>
    <row r="386" spans="1:5" x14ac:dyDescent="0.25">
      <c r="A386" s="110" t="s">
        <v>101</v>
      </c>
      <c r="B386" s="5" t="s">
        <v>10</v>
      </c>
      <c r="C386" s="6" t="s">
        <v>11</v>
      </c>
      <c r="D386" s="114" t="s">
        <v>209</v>
      </c>
      <c r="E386" s="117">
        <v>26.18</v>
      </c>
    </row>
    <row r="387" spans="1:5" x14ac:dyDescent="0.25">
      <c r="A387" s="110" t="s">
        <v>101</v>
      </c>
      <c r="B387" s="5" t="s">
        <v>10</v>
      </c>
      <c r="C387" s="6" t="s">
        <v>11</v>
      </c>
      <c r="D387" s="114" t="s">
        <v>210</v>
      </c>
      <c r="E387" s="117">
        <v>16.32</v>
      </c>
    </row>
    <row r="388" spans="1:5" x14ac:dyDescent="0.25">
      <c r="A388" s="110" t="s">
        <v>101</v>
      </c>
      <c r="B388" s="5" t="s">
        <v>10</v>
      </c>
      <c r="C388" s="6" t="s">
        <v>11</v>
      </c>
      <c r="D388" s="114" t="s">
        <v>211</v>
      </c>
      <c r="E388" s="117">
        <v>22.54</v>
      </c>
    </row>
    <row r="389" spans="1:5" x14ac:dyDescent="0.25">
      <c r="A389" s="110" t="s">
        <v>101</v>
      </c>
      <c r="B389" s="5" t="s">
        <v>10</v>
      </c>
      <c r="C389" s="7" t="s">
        <v>43</v>
      </c>
      <c r="D389" s="114" t="s">
        <v>209</v>
      </c>
      <c r="E389" s="117">
        <v>23.65</v>
      </c>
    </row>
    <row r="390" spans="1:5" x14ac:dyDescent="0.25">
      <c r="A390" s="110" t="s">
        <v>101</v>
      </c>
      <c r="B390" s="5" t="s">
        <v>10</v>
      </c>
      <c r="C390" s="7" t="s">
        <v>43</v>
      </c>
      <c r="D390" s="114" t="s">
        <v>210</v>
      </c>
      <c r="E390" s="117">
        <v>20.72</v>
      </c>
    </row>
    <row r="391" spans="1:5" x14ac:dyDescent="0.25">
      <c r="A391" s="110" t="s">
        <v>101</v>
      </c>
      <c r="B391" s="5" t="s">
        <v>10</v>
      </c>
      <c r="C391" s="7" t="s">
        <v>43</v>
      </c>
      <c r="D391" s="114" t="s">
        <v>211</v>
      </c>
      <c r="E391" s="117">
        <v>26.77</v>
      </c>
    </row>
    <row r="392" spans="1:5" x14ac:dyDescent="0.25">
      <c r="A392" s="110" t="s">
        <v>101</v>
      </c>
      <c r="B392" s="5" t="s">
        <v>10</v>
      </c>
      <c r="C392" s="7" t="s">
        <v>43</v>
      </c>
      <c r="D392" s="114" t="s">
        <v>209</v>
      </c>
      <c r="E392" s="117">
        <v>26.1</v>
      </c>
    </row>
    <row r="393" spans="1:5" x14ac:dyDescent="0.25">
      <c r="A393" s="110" t="s">
        <v>101</v>
      </c>
      <c r="B393" s="5" t="s">
        <v>10</v>
      </c>
      <c r="C393" s="7" t="s">
        <v>43</v>
      </c>
      <c r="D393" s="114" t="s">
        <v>210</v>
      </c>
      <c r="E393" s="117">
        <v>22.21</v>
      </c>
    </row>
    <row r="394" spans="1:5" x14ac:dyDescent="0.25">
      <c r="A394" s="110" t="s">
        <v>101</v>
      </c>
      <c r="B394" s="5" t="s">
        <v>10</v>
      </c>
      <c r="C394" s="7" t="s">
        <v>43</v>
      </c>
      <c r="D394" s="114" t="s">
        <v>211</v>
      </c>
      <c r="E394" s="117">
        <v>28.34</v>
      </c>
    </row>
    <row r="395" spans="1:5" x14ac:dyDescent="0.25">
      <c r="A395" s="110" t="s">
        <v>101</v>
      </c>
      <c r="B395" s="5" t="s">
        <v>10</v>
      </c>
      <c r="C395" s="7" t="s">
        <v>43</v>
      </c>
      <c r="D395" s="114" t="s">
        <v>209</v>
      </c>
      <c r="E395" s="117">
        <v>38.78</v>
      </c>
    </row>
    <row r="396" spans="1:5" x14ac:dyDescent="0.25">
      <c r="A396" s="110" t="s">
        <v>101</v>
      </c>
      <c r="B396" s="5" t="s">
        <v>10</v>
      </c>
      <c r="C396" s="7" t="s">
        <v>43</v>
      </c>
      <c r="D396" s="114" t="s">
        <v>210</v>
      </c>
      <c r="E396" s="117">
        <v>26</v>
      </c>
    </row>
    <row r="397" spans="1:5" x14ac:dyDescent="0.25">
      <c r="A397" s="110" t="s">
        <v>101</v>
      </c>
      <c r="B397" s="5" t="s">
        <v>10</v>
      </c>
      <c r="C397" s="7" t="s">
        <v>43</v>
      </c>
      <c r="D397" s="114" t="s">
        <v>211</v>
      </c>
      <c r="E397" s="117">
        <v>29.47</v>
      </c>
    </row>
    <row r="398" spans="1:5" x14ac:dyDescent="0.25">
      <c r="A398" s="110" t="s">
        <v>101</v>
      </c>
      <c r="B398" s="4" t="s">
        <v>23</v>
      </c>
      <c r="C398" s="6" t="s">
        <v>11</v>
      </c>
      <c r="D398" s="114" t="s">
        <v>209</v>
      </c>
      <c r="E398" s="117">
        <v>25.46</v>
      </c>
    </row>
    <row r="399" spans="1:5" x14ac:dyDescent="0.25">
      <c r="A399" s="110" t="s">
        <v>101</v>
      </c>
      <c r="B399" s="4" t="s">
        <v>23</v>
      </c>
      <c r="C399" s="6" t="s">
        <v>11</v>
      </c>
      <c r="D399" s="114" t="s">
        <v>210</v>
      </c>
      <c r="E399" s="117">
        <v>26.8</v>
      </c>
    </row>
    <row r="400" spans="1:5" x14ac:dyDescent="0.25">
      <c r="A400" s="110" t="s">
        <v>101</v>
      </c>
      <c r="B400" s="4" t="s">
        <v>23</v>
      </c>
      <c r="C400" s="6" t="s">
        <v>11</v>
      </c>
      <c r="D400" s="114" t="s">
        <v>211</v>
      </c>
      <c r="E400" s="117">
        <v>27.27</v>
      </c>
    </row>
    <row r="401" spans="1:5" x14ac:dyDescent="0.25">
      <c r="A401" s="110" t="s">
        <v>101</v>
      </c>
      <c r="B401" s="4" t="s">
        <v>23</v>
      </c>
      <c r="C401" s="6" t="s">
        <v>11</v>
      </c>
      <c r="D401" s="114" t="s">
        <v>209</v>
      </c>
      <c r="E401" s="117">
        <v>22.62</v>
      </c>
    </row>
    <row r="402" spans="1:5" x14ac:dyDescent="0.25">
      <c r="A402" s="110" t="s">
        <v>101</v>
      </c>
      <c r="B402" s="4" t="s">
        <v>23</v>
      </c>
      <c r="C402" s="6" t="s">
        <v>11</v>
      </c>
      <c r="D402" s="114" t="s">
        <v>210</v>
      </c>
      <c r="E402" s="117">
        <v>20.61</v>
      </c>
    </row>
    <row r="403" spans="1:5" x14ac:dyDescent="0.25">
      <c r="A403" s="110" t="s">
        <v>101</v>
      </c>
      <c r="B403" s="4" t="s">
        <v>23</v>
      </c>
      <c r="C403" s="6" t="s">
        <v>11</v>
      </c>
      <c r="D403" s="114" t="s">
        <v>211</v>
      </c>
      <c r="E403" s="117">
        <v>26.8</v>
      </c>
    </row>
    <row r="404" spans="1:5" x14ac:dyDescent="0.25">
      <c r="A404" s="110" t="s">
        <v>101</v>
      </c>
      <c r="B404" s="4" t="s">
        <v>23</v>
      </c>
      <c r="C404" s="6" t="s">
        <v>11</v>
      </c>
      <c r="D404" s="114" t="s">
        <v>209</v>
      </c>
      <c r="E404" s="117">
        <v>29.39</v>
      </c>
    </row>
    <row r="405" spans="1:5" x14ac:dyDescent="0.25">
      <c r="A405" s="110" t="s">
        <v>101</v>
      </c>
      <c r="B405" s="4" t="s">
        <v>23</v>
      </c>
      <c r="C405" s="6" t="s">
        <v>11</v>
      </c>
      <c r="D405" s="114" t="s">
        <v>210</v>
      </c>
      <c r="E405" s="117">
        <v>20.69</v>
      </c>
    </row>
    <row r="406" spans="1:5" x14ac:dyDescent="0.25">
      <c r="A406" s="110" t="s">
        <v>101</v>
      </c>
      <c r="B406" s="4" t="s">
        <v>23</v>
      </c>
      <c r="C406" s="6" t="s">
        <v>11</v>
      </c>
      <c r="D406" s="114" t="s">
        <v>211</v>
      </c>
      <c r="E406" s="117">
        <v>30.63</v>
      </c>
    </row>
    <row r="407" spans="1:5" x14ac:dyDescent="0.25">
      <c r="A407" s="110" t="s">
        <v>101</v>
      </c>
      <c r="B407" s="4" t="s">
        <v>23</v>
      </c>
      <c r="C407" s="7" t="s">
        <v>43</v>
      </c>
      <c r="D407" s="114" t="s">
        <v>209</v>
      </c>
      <c r="E407" s="117">
        <v>24.61</v>
      </c>
    </row>
    <row r="408" spans="1:5" x14ac:dyDescent="0.25">
      <c r="A408" s="110" t="s">
        <v>101</v>
      </c>
      <c r="B408" s="4" t="s">
        <v>23</v>
      </c>
      <c r="C408" s="7" t="s">
        <v>43</v>
      </c>
      <c r="D408" s="114" t="s">
        <v>210</v>
      </c>
      <c r="E408" s="117">
        <v>20.68</v>
      </c>
    </row>
    <row r="409" spans="1:5" x14ac:dyDescent="0.25">
      <c r="A409" s="110" t="s">
        <v>101</v>
      </c>
      <c r="B409" s="4" t="s">
        <v>23</v>
      </c>
      <c r="C409" s="7" t="s">
        <v>43</v>
      </c>
      <c r="D409" s="114" t="s">
        <v>211</v>
      </c>
      <c r="E409" s="117">
        <v>37.56</v>
      </c>
    </row>
    <row r="410" spans="1:5" x14ac:dyDescent="0.25">
      <c r="A410" s="110" t="s">
        <v>101</v>
      </c>
      <c r="B410" s="4" t="s">
        <v>23</v>
      </c>
      <c r="C410" s="7" t="s">
        <v>43</v>
      </c>
      <c r="D410" s="114" t="s">
        <v>209</v>
      </c>
      <c r="E410" s="117">
        <v>23.32</v>
      </c>
    </row>
    <row r="411" spans="1:5" x14ac:dyDescent="0.25">
      <c r="A411" s="110" t="s">
        <v>101</v>
      </c>
      <c r="B411" s="4" t="s">
        <v>23</v>
      </c>
      <c r="C411" s="7" t="s">
        <v>43</v>
      </c>
      <c r="D411" s="114" t="s">
        <v>210</v>
      </c>
      <c r="E411" s="117">
        <v>24.39</v>
      </c>
    </row>
    <row r="412" spans="1:5" x14ac:dyDescent="0.25">
      <c r="A412" s="110" t="s">
        <v>101</v>
      </c>
      <c r="B412" s="4" t="s">
        <v>23</v>
      </c>
      <c r="C412" s="7" t="s">
        <v>43</v>
      </c>
      <c r="D412" s="114" t="s">
        <v>211</v>
      </c>
      <c r="E412" s="117">
        <v>24.7</v>
      </c>
    </row>
    <row r="413" spans="1:5" x14ac:dyDescent="0.25">
      <c r="A413" s="110" t="s">
        <v>101</v>
      </c>
      <c r="B413" s="4" t="s">
        <v>23</v>
      </c>
      <c r="C413" s="7" t="s">
        <v>43</v>
      </c>
      <c r="D413" s="114" t="s">
        <v>209</v>
      </c>
      <c r="E413" s="117">
        <v>23.34</v>
      </c>
    </row>
    <row r="414" spans="1:5" x14ac:dyDescent="0.25">
      <c r="A414" s="110" t="s">
        <v>101</v>
      </c>
      <c r="B414" s="4" t="s">
        <v>23</v>
      </c>
      <c r="C414" s="7" t="s">
        <v>43</v>
      </c>
      <c r="D414" s="114" t="s">
        <v>210</v>
      </c>
      <c r="E414" s="117">
        <v>24.24</v>
      </c>
    </row>
    <row r="415" spans="1:5" x14ac:dyDescent="0.25">
      <c r="A415" s="110" t="s">
        <v>101</v>
      </c>
      <c r="B415" s="4" t="s">
        <v>23</v>
      </c>
      <c r="C415" s="7" t="s">
        <v>43</v>
      </c>
      <c r="D415" s="114" t="s">
        <v>211</v>
      </c>
      <c r="E415" s="117">
        <v>33.19</v>
      </c>
    </row>
    <row r="416" spans="1:5" x14ac:dyDescent="0.25">
      <c r="A416" s="110" t="s">
        <v>101</v>
      </c>
      <c r="B416" s="3" t="s">
        <v>33</v>
      </c>
      <c r="C416" s="6" t="s">
        <v>11</v>
      </c>
      <c r="D416" s="114" t="s">
        <v>209</v>
      </c>
      <c r="E416" s="117">
        <v>28.84</v>
      </c>
    </row>
    <row r="417" spans="1:5" x14ac:dyDescent="0.25">
      <c r="A417" s="110" t="s">
        <v>101</v>
      </c>
      <c r="B417" s="3" t="s">
        <v>33</v>
      </c>
      <c r="C417" s="6" t="s">
        <v>11</v>
      </c>
      <c r="D417" s="114" t="s">
        <v>210</v>
      </c>
      <c r="E417" s="117">
        <v>22.06</v>
      </c>
    </row>
    <row r="418" spans="1:5" x14ac:dyDescent="0.25">
      <c r="A418" s="110" t="s">
        <v>101</v>
      </c>
      <c r="B418" s="3" t="s">
        <v>33</v>
      </c>
      <c r="C418" s="6" t="s">
        <v>11</v>
      </c>
      <c r="D418" s="114" t="s">
        <v>211</v>
      </c>
      <c r="E418" s="117">
        <v>31.02</v>
      </c>
    </row>
    <row r="419" spans="1:5" x14ac:dyDescent="0.25">
      <c r="A419" s="110" t="s">
        <v>101</v>
      </c>
      <c r="B419" s="3" t="s">
        <v>33</v>
      </c>
      <c r="C419" s="6" t="s">
        <v>11</v>
      </c>
      <c r="D419" s="114" t="s">
        <v>209</v>
      </c>
      <c r="E419" s="117">
        <v>20.3</v>
      </c>
    </row>
    <row r="420" spans="1:5" x14ac:dyDescent="0.25">
      <c r="A420" s="110" t="s">
        <v>101</v>
      </c>
      <c r="B420" s="3" t="s">
        <v>33</v>
      </c>
      <c r="C420" s="6" t="s">
        <v>11</v>
      </c>
      <c r="D420" s="114" t="s">
        <v>210</v>
      </c>
      <c r="E420" s="117">
        <v>18.43</v>
      </c>
    </row>
    <row r="421" spans="1:5" x14ac:dyDescent="0.25">
      <c r="A421" s="110" t="s">
        <v>101</v>
      </c>
      <c r="B421" s="3" t="s">
        <v>33</v>
      </c>
      <c r="C421" s="6" t="s">
        <v>11</v>
      </c>
      <c r="D421" s="114" t="s">
        <v>211</v>
      </c>
      <c r="E421" s="117">
        <v>26.52</v>
      </c>
    </row>
    <row r="422" spans="1:5" x14ac:dyDescent="0.25">
      <c r="A422" s="110" t="s">
        <v>101</v>
      </c>
      <c r="B422" s="3" t="s">
        <v>33</v>
      </c>
      <c r="C422" s="6" t="s">
        <v>11</v>
      </c>
      <c r="D422" s="114" t="s">
        <v>209</v>
      </c>
      <c r="E422" s="117">
        <v>24.81</v>
      </c>
    </row>
    <row r="423" spans="1:5" x14ac:dyDescent="0.25">
      <c r="A423" s="110" t="s">
        <v>101</v>
      </c>
      <c r="B423" s="3" t="s">
        <v>33</v>
      </c>
      <c r="C423" s="6" t="s">
        <v>11</v>
      </c>
      <c r="D423" s="114" t="s">
        <v>210</v>
      </c>
      <c r="E423" s="117">
        <v>20.67</v>
      </c>
    </row>
    <row r="424" spans="1:5" x14ac:dyDescent="0.25">
      <c r="A424" s="110" t="s">
        <v>101</v>
      </c>
      <c r="B424" s="3" t="s">
        <v>33</v>
      </c>
      <c r="C424" s="6" t="s">
        <v>11</v>
      </c>
      <c r="D424" s="114" t="s">
        <v>211</v>
      </c>
      <c r="E424" s="117">
        <v>27.27</v>
      </c>
    </row>
    <row r="425" spans="1:5" x14ac:dyDescent="0.25">
      <c r="A425" s="110" t="s">
        <v>101</v>
      </c>
      <c r="B425" s="3" t="s">
        <v>33</v>
      </c>
      <c r="C425" s="7" t="s">
        <v>43</v>
      </c>
      <c r="D425" s="114" t="s">
        <v>209</v>
      </c>
      <c r="E425" s="117">
        <v>18.809999999999999</v>
      </c>
    </row>
    <row r="426" spans="1:5" x14ac:dyDescent="0.25">
      <c r="A426" s="110" t="s">
        <v>101</v>
      </c>
      <c r="B426" s="3" t="s">
        <v>33</v>
      </c>
      <c r="C426" s="7" t="s">
        <v>43</v>
      </c>
      <c r="D426" s="114" t="s">
        <v>210</v>
      </c>
      <c r="E426" s="117">
        <v>16.46</v>
      </c>
    </row>
    <row r="427" spans="1:5" x14ac:dyDescent="0.25">
      <c r="A427" s="110" t="s">
        <v>101</v>
      </c>
      <c r="B427" s="3" t="s">
        <v>33</v>
      </c>
      <c r="C427" s="7" t="s">
        <v>43</v>
      </c>
      <c r="D427" s="114" t="s">
        <v>211</v>
      </c>
      <c r="E427" s="117">
        <v>22.86</v>
      </c>
    </row>
    <row r="428" spans="1:5" x14ac:dyDescent="0.25">
      <c r="A428" s="110" t="s">
        <v>101</v>
      </c>
      <c r="B428" s="3" t="s">
        <v>33</v>
      </c>
      <c r="C428" s="7" t="s">
        <v>43</v>
      </c>
      <c r="D428" s="114" t="s">
        <v>209</v>
      </c>
      <c r="E428" s="117">
        <v>25.68</v>
      </c>
    </row>
    <row r="429" spans="1:5" x14ac:dyDescent="0.25">
      <c r="A429" s="110" t="s">
        <v>101</v>
      </c>
      <c r="B429" s="3" t="s">
        <v>33</v>
      </c>
      <c r="C429" s="7" t="s">
        <v>43</v>
      </c>
      <c r="D429" s="114" t="s">
        <v>210</v>
      </c>
      <c r="E429" s="117">
        <v>17.690000000000001</v>
      </c>
    </row>
    <row r="430" spans="1:5" x14ac:dyDescent="0.25">
      <c r="A430" s="110" t="s">
        <v>101</v>
      </c>
      <c r="B430" s="3" t="s">
        <v>33</v>
      </c>
      <c r="C430" s="7" t="s">
        <v>43</v>
      </c>
      <c r="D430" s="114" t="s">
        <v>211</v>
      </c>
      <c r="E430" s="117">
        <v>24.61</v>
      </c>
    </row>
    <row r="431" spans="1:5" x14ac:dyDescent="0.25">
      <c r="A431" s="110" t="s">
        <v>101</v>
      </c>
      <c r="B431" s="3" t="s">
        <v>33</v>
      </c>
      <c r="C431" s="7" t="s">
        <v>43</v>
      </c>
      <c r="D431" s="114" t="s">
        <v>209</v>
      </c>
      <c r="E431" s="117">
        <v>24.15</v>
      </c>
    </row>
    <row r="432" spans="1:5" x14ac:dyDescent="0.25">
      <c r="A432" s="110" t="s">
        <v>101</v>
      </c>
      <c r="B432" s="3" t="s">
        <v>33</v>
      </c>
      <c r="C432" s="7" t="s">
        <v>43</v>
      </c>
      <c r="D432" s="114" t="s">
        <v>210</v>
      </c>
      <c r="E432" s="117">
        <v>17.079999999999998</v>
      </c>
    </row>
    <row r="433" spans="1:5" x14ac:dyDescent="0.25">
      <c r="A433" s="110" t="s">
        <v>101</v>
      </c>
      <c r="B433" s="108" t="s">
        <v>33</v>
      </c>
      <c r="C433" s="104" t="s">
        <v>43</v>
      </c>
      <c r="D433" s="115" t="s">
        <v>211</v>
      </c>
      <c r="E433" s="118">
        <v>23.17</v>
      </c>
    </row>
    <row r="434" spans="1:5" x14ac:dyDescent="0.25">
      <c r="A434" s="109" t="s">
        <v>222</v>
      </c>
      <c r="B434" s="105" t="s">
        <v>10</v>
      </c>
      <c r="C434" s="103" t="s">
        <v>11</v>
      </c>
      <c r="D434" s="112" t="s">
        <v>209</v>
      </c>
      <c r="E434" s="117">
        <v>25.02</v>
      </c>
    </row>
    <row r="435" spans="1:5" x14ac:dyDescent="0.25">
      <c r="A435" s="110" t="s">
        <v>222</v>
      </c>
      <c r="B435" s="5" t="s">
        <v>10</v>
      </c>
      <c r="C435" s="6" t="s">
        <v>11</v>
      </c>
      <c r="D435" s="114" t="s">
        <v>210</v>
      </c>
      <c r="E435" s="117">
        <v>21.54</v>
      </c>
    </row>
    <row r="436" spans="1:5" x14ac:dyDescent="0.25">
      <c r="A436" s="110" t="s">
        <v>222</v>
      </c>
      <c r="B436" s="5" t="s">
        <v>10</v>
      </c>
      <c r="C436" s="6" t="s">
        <v>11</v>
      </c>
      <c r="D436" s="114" t="s">
        <v>211</v>
      </c>
      <c r="E436" s="117">
        <v>28.9</v>
      </c>
    </row>
    <row r="437" spans="1:5" x14ac:dyDescent="0.25">
      <c r="A437" s="110" t="s">
        <v>222</v>
      </c>
      <c r="B437" s="5" t="s">
        <v>10</v>
      </c>
      <c r="C437" s="6" t="s">
        <v>11</v>
      </c>
      <c r="D437" s="114" t="s">
        <v>209</v>
      </c>
      <c r="E437" s="117">
        <v>23.17</v>
      </c>
    </row>
    <row r="438" spans="1:5" x14ac:dyDescent="0.25">
      <c r="A438" s="110" t="s">
        <v>222</v>
      </c>
      <c r="B438" s="5" t="s">
        <v>10</v>
      </c>
      <c r="C438" s="6" t="s">
        <v>11</v>
      </c>
      <c r="D438" s="114" t="s">
        <v>210</v>
      </c>
      <c r="E438" s="117">
        <v>19.73</v>
      </c>
    </row>
    <row r="439" spans="1:5" x14ac:dyDescent="0.25">
      <c r="A439" s="110" t="s">
        <v>222</v>
      </c>
      <c r="B439" s="5" t="s">
        <v>10</v>
      </c>
      <c r="C439" s="6" t="s">
        <v>11</v>
      </c>
      <c r="D439" s="114" t="s">
        <v>211</v>
      </c>
      <c r="E439" s="117">
        <v>30.25</v>
      </c>
    </row>
    <row r="440" spans="1:5" x14ac:dyDescent="0.25">
      <c r="A440" s="110" t="s">
        <v>222</v>
      </c>
      <c r="B440" s="5" t="s">
        <v>10</v>
      </c>
      <c r="C440" s="6" t="s">
        <v>11</v>
      </c>
      <c r="D440" s="114" t="s">
        <v>209</v>
      </c>
      <c r="E440" s="117">
        <v>25.29</v>
      </c>
    </row>
    <row r="441" spans="1:5" x14ac:dyDescent="0.25">
      <c r="A441" s="110" t="s">
        <v>222</v>
      </c>
      <c r="B441" s="5" t="s">
        <v>10</v>
      </c>
      <c r="C441" s="6" t="s">
        <v>11</v>
      </c>
      <c r="D441" s="114" t="s">
        <v>210</v>
      </c>
      <c r="E441" s="117">
        <v>21.24</v>
      </c>
    </row>
    <row r="442" spans="1:5" x14ac:dyDescent="0.25">
      <c r="A442" s="110" t="s">
        <v>222</v>
      </c>
      <c r="B442" s="5" t="s">
        <v>10</v>
      </c>
      <c r="C442" s="6" t="s">
        <v>11</v>
      </c>
      <c r="D442" s="114" t="s">
        <v>211</v>
      </c>
      <c r="E442" s="117">
        <v>28.26</v>
      </c>
    </row>
    <row r="443" spans="1:5" x14ac:dyDescent="0.25">
      <c r="A443" s="110" t="s">
        <v>222</v>
      </c>
      <c r="B443" s="5" t="s">
        <v>10</v>
      </c>
      <c r="C443" s="7" t="s">
        <v>43</v>
      </c>
      <c r="D443" s="114" t="s">
        <v>209</v>
      </c>
      <c r="E443" s="117">
        <v>22.84</v>
      </c>
    </row>
    <row r="444" spans="1:5" x14ac:dyDescent="0.25">
      <c r="A444" s="110" t="s">
        <v>222</v>
      </c>
      <c r="B444" s="5" t="s">
        <v>10</v>
      </c>
      <c r="C444" s="7" t="s">
        <v>43</v>
      </c>
      <c r="D444" s="114" t="s">
        <v>210</v>
      </c>
      <c r="E444" s="117">
        <v>18.899999999999999</v>
      </c>
    </row>
    <row r="445" spans="1:5" x14ac:dyDescent="0.25">
      <c r="A445" s="110" t="s">
        <v>222</v>
      </c>
      <c r="B445" s="5" t="s">
        <v>10</v>
      </c>
      <c r="C445" s="7" t="s">
        <v>43</v>
      </c>
      <c r="D445" s="114" t="s">
        <v>211</v>
      </c>
      <c r="E445" s="117">
        <v>25.68</v>
      </c>
    </row>
    <row r="446" spans="1:5" x14ac:dyDescent="0.25">
      <c r="A446" s="110" t="s">
        <v>222</v>
      </c>
      <c r="B446" s="5" t="s">
        <v>10</v>
      </c>
      <c r="C446" s="7" t="s">
        <v>43</v>
      </c>
      <c r="D446" s="114" t="s">
        <v>209</v>
      </c>
      <c r="E446" s="117">
        <v>24.44</v>
      </c>
    </row>
    <row r="447" spans="1:5" x14ac:dyDescent="0.25">
      <c r="A447" s="110" t="s">
        <v>222</v>
      </c>
      <c r="B447" s="5" t="s">
        <v>10</v>
      </c>
      <c r="C447" s="7" t="s">
        <v>43</v>
      </c>
      <c r="D447" s="114" t="s">
        <v>210</v>
      </c>
      <c r="E447" s="117">
        <v>20.94</v>
      </c>
    </row>
    <row r="448" spans="1:5" x14ac:dyDescent="0.25">
      <c r="A448" s="110" t="s">
        <v>222</v>
      </c>
      <c r="B448" s="5" t="s">
        <v>10</v>
      </c>
      <c r="C448" s="7" t="s">
        <v>43</v>
      </c>
      <c r="D448" s="114" t="s">
        <v>211</v>
      </c>
      <c r="E448" s="117">
        <v>30.32</v>
      </c>
    </row>
    <row r="449" spans="1:5" x14ac:dyDescent="0.25">
      <c r="A449" s="110" t="s">
        <v>222</v>
      </c>
      <c r="B449" s="5" t="s">
        <v>10</v>
      </c>
      <c r="C449" s="7" t="s">
        <v>43</v>
      </c>
      <c r="D449" s="114" t="s">
        <v>209</v>
      </c>
      <c r="E449" s="117">
        <v>31.47</v>
      </c>
    </row>
    <row r="450" spans="1:5" x14ac:dyDescent="0.25">
      <c r="A450" s="110" t="s">
        <v>222</v>
      </c>
      <c r="B450" s="5" t="s">
        <v>10</v>
      </c>
      <c r="C450" s="7" t="s">
        <v>43</v>
      </c>
      <c r="D450" s="114" t="s">
        <v>210</v>
      </c>
      <c r="E450" s="117">
        <v>25.44</v>
      </c>
    </row>
    <row r="451" spans="1:5" x14ac:dyDescent="0.25">
      <c r="A451" s="110" t="s">
        <v>222</v>
      </c>
      <c r="B451" s="5" t="s">
        <v>10</v>
      </c>
      <c r="C451" s="7" t="s">
        <v>43</v>
      </c>
      <c r="D451" s="114" t="s">
        <v>211</v>
      </c>
      <c r="E451" s="117">
        <v>30.72</v>
      </c>
    </row>
    <row r="452" spans="1:5" x14ac:dyDescent="0.25">
      <c r="A452" s="110" t="s">
        <v>222</v>
      </c>
      <c r="B452" s="4" t="s">
        <v>23</v>
      </c>
      <c r="C452" s="6" t="s">
        <v>11</v>
      </c>
      <c r="D452" s="114" t="s">
        <v>209</v>
      </c>
      <c r="E452" s="117">
        <v>25.56</v>
      </c>
    </row>
    <row r="453" spans="1:5" x14ac:dyDescent="0.25">
      <c r="A453" s="110" t="s">
        <v>222</v>
      </c>
      <c r="B453" s="4" t="s">
        <v>23</v>
      </c>
      <c r="C453" s="6" t="s">
        <v>11</v>
      </c>
      <c r="D453" s="114" t="s">
        <v>210</v>
      </c>
      <c r="E453" s="117">
        <v>24.37</v>
      </c>
    </row>
    <row r="454" spans="1:5" x14ac:dyDescent="0.25">
      <c r="A454" s="110" t="s">
        <v>222</v>
      </c>
      <c r="B454" s="4" t="s">
        <v>23</v>
      </c>
      <c r="C454" s="6" t="s">
        <v>11</v>
      </c>
      <c r="D454" s="114" t="s">
        <v>211</v>
      </c>
      <c r="E454" s="117">
        <v>24.46</v>
      </c>
    </row>
    <row r="455" spans="1:5" x14ac:dyDescent="0.25">
      <c r="A455" s="110" t="s">
        <v>222</v>
      </c>
      <c r="B455" s="4" t="s">
        <v>23</v>
      </c>
      <c r="C455" s="6" t="s">
        <v>11</v>
      </c>
      <c r="D455" s="114" t="s">
        <v>209</v>
      </c>
      <c r="E455" s="117">
        <v>24</v>
      </c>
    </row>
    <row r="456" spans="1:5" x14ac:dyDescent="0.25">
      <c r="A456" s="110" t="s">
        <v>222</v>
      </c>
      <c r="B456" s="4" t="s">
        <v>23</v>
      </c>
      <c r="C456" s="6" t="s">
        <v>11</v>
      </c>
      <c r="D456" s="114" t="s">
        <v>210</v>
      </c>
      <c r="E456" s="117">
        <v>18.239999999999998</v>
      </c>
    </row>
    <row r="457" spans="1:5" x14ac:dyDescent="0.25">
      <c r="A457" s="110" t="s">
        <v>222</v>
      </c>
      <c r="B457" s="4" t="s">
        <v>23</v>
      </c>
      <c r="C457" s="6" t="s">
        <v>11</v>
      </c>
      <c r="D457" s="114" t="s">
        <v>211</v>
      </c>
      <c r="E457" s="117">
        <v>30.44</v>
      </c>
    </row>
    <row r="458" spans="1:5" x14ac:dyDescent="0.25">
      <c r="A458" s="110" t="s">
        <v>222</v>
      </c>
      <c r="B458" s="4" t="s">
        <v>23</v>
      </c>
      <c r="C458" s="6" t="s">
        <v>11</v>
      </c>
      <c r="D458" s="114" t="s">
        <v>209</v>
      </c>
      <c r="E458" s="117">
        <v>24.98</v>
      </c>
    </row>
    <row r="459" spans="1:5" x14ac:dyDescent="0.25">
      <c r="A459" s="110" t="s">
        <v>222</v>
      </c>
      <c r="B459" s="4" t="s">
        <v>23</v>
      </c>
      <c r="C459" s="6" t="s">
        <v>11</v>
      </c>
      <c r="D459" s="114" t="s">
        <v>210</v>
      </c>
      <c r="E459" s="117">
        <v>19.36</v>
      </c>
    </row>
    <row r="460" spans="1:5" x14ac:dyDescent="0.25">
      <c r="A460" s="110" t="s">
        <v>222</v>
      </c>
      <c r="B460" s="4" t="s">
        <v>23</v>
      </c>
      <c r="C460" s="6" t="s">
        <v>11</v>
      </c>
      <c r="D460" s="114" t="s">
        <v>211</v>
      </c>
      <c r="E460" s="117">
        <v>28.17</v>
      </c>
    </row>
    <row r="461" spans="1:5" x14ac:dyDescent="0.25">
      <c r="A461" s="110" t="s">
        <v>222</v>
      </c>
      <c r="B461" s="4" t="s">
        <v>23</v>
      </c>
      <c r="C461" s="7" t="s">
        <v>43</v>
      </c>
      <c r="D461" s="114" t="s">
        <v>209</v>
      </c>
      <c r="E461" s="117">
        <v>30.58</v>
      </c>
    </row>
    <row r="462" spans="1:5" x14ac:dyDescent="0.25">
      <c r="A462" s="110" t="s">
        <v>222</v>
      </c>
      <c r="B462" s="4" t="s">
        <v>23</v>
      </c>
      <c r="C462" s="7" t="s">
        <v>43</v>
      </c>
      <c r="D462" s="114" t="s">
        <v>210</v>
      </c>
      <c r="E462" s="117">
        <v>21.42</v>
      </c>
    </row>
    <row r="463" spans="1:5" x14ac:dyDescent="0.25">
      <c r="A463" s="110" t="s">
        <v>222</v>
      </c>
      <c r="B463" s="4" t="s">
        <v>23</v>
      </c>
      <c r="C463" s="7" t="s">
        <v>43</v>
      </c>
      <c r="D463" s="114" t="s">
        <v>211</v>
      </c>
      <c r="E463" s="117">
        <v>33.11</v>
      </c>
    </row>
    <row r="464" spans="1:5" x14ac:dyDescent="0.25">
      <c r="A464" s="110" t="s">
        <v>222</v>
      </c>
      <c r="B464" s="4" t="s">
        <v>23</v>
      </c>
      <c r="C464" s="7" t="s">
        <v>43</v>
      </c>
      <c r="D464" s="114" t="s">
        <v>209</v>
      </c>
      <c r="E464" s="117">
        <v>26.92</v>
      </c>
    </row>
    <row r="465" spans="1:5" x14ac:dyDescent="0.25">
      <c r="A465" s="110" t="s">
        <v>222</v>
      </c>
      <c r="B465" s="4" t="s">
        <v>23</v>
      </c>
      <c r="C465" s="7" t="s">
        <v>43</v>
      </c>
      <c r="D465" s="114" t="s">
        <v>210</v>
      </c>
      <c r="E465" s="117">
        <v>20.64</v>
      </c>
    </row>
    <row r="466" spans="1:5" x14ac:dyDescent="0.25">
      <c r="A466" s="110" t="s">
        <v>222</v>
      </c>
      <c r="B466" s="4" t="s">
        <v>23</v>
      </c>
      <c r="C466" s="7" t="s">
        <v>43</v>
      </c>
      <c r="D466" s="114" t="s">
        <v>211</v>
      </c>
      <c r="E466" s="117">
        <v>29.95</v>
      </c>
    </row>
    <row r="467" spans="1:5" x14ac:dyDescent="0.25">
      <c r="A467" s="110" t="s">
        <v>222</v>
      </c>
      <c r="B467" s="4" t="s">
        <v>23</v>
      </c>
      <c r="C467" s="7" t="s">
        <v>43</v>
      </c>
      <c r="D467" s="114" t="s">
        <v>209</v>
      </c>
      <c r="E467" s="117">
        <v>29.07</v>
      </c>
    </row>
    <row r="468" spans="1:5" x14ac:dyDescent="0.25">
      <c r="A468" s="110" t="s">
        <v>222</v>
      </c>
      <c r="B468" s="4" t="s">
        <v>23</v>
      </c>
      <c r="C468" s="7" t="s">
        <v>43</v>
      </c>
      <c r="D468" s="114" t="s">
        <v>210</v>
      </c>
      <c r="E468" s="117">
        <v>21.51</v>
      </c>
    </row>
    <row r="469" spans="1:5" x14ac:dyDescent="0.25">
      <c r="A469" s="110" t="s">
        <v>222</v>
      </c>
      <c r="B469" s="4" t="s">
        <v>23</v>
      </c>
      <c r="C469" s="7" t="s">
        <v>43</v>
      </c>
      <c r="D469" s="114" t="s">
        <v>211</v>
      </c>
      <c r="E469" s="117">
        <v>30.1</v>
      </c>
    </row>
    <row r="470" spans="1:5" x14ac:dyDescent="0.25">
      <c r="A470" s="110" t="s">
        <v>222</v>
      </c>
      <c r="B470" s="3" t="s">
        <v>33</v>
      </c>
      <c r="C470" s="6" t="s">
        <v>11</v>
      </c>
      <c r="D470" s="114" t="s">
        <v>209</v>
      </c>
      <c r="E470" s="117">
        <v>25.05</v>
      </c>
    </row>
    <row r="471" spans="1:5" x14ac:dyDescent="0.25">
      <c r="A471" s="110" t="s">
        <v>222</v>
      </c>
      <c r="B471" s="3" t="s">
        <v>33</v>
      </c>
      <c r="C471" s="6" t="s">
        <v>11</v>
      </c>
      <c r="D471" s="114" t="s">
        <v>210</v>
      </c>
      <c r="E471" s="117">
        <v>20.420000000000002</v>
      </c>
    </row>
    <row r="472" spans="1:5" x14ac:dyDescent="0.25">
      <c r="A472" s="110" t="s">
        <v>222</v>
      </c>
      <c r="B472" s="3" t="s">
        <v>33</v>
      </c>
      <c r="C472" s="6" t="s">
        <v>11</v>
      </c>
      <c r="D472" s="114" t="s">
        <v>211</v>
      </c>
      <c r="E472" s="117">
        <v>27.71</v>
      </c>
    </row>
    <row r="473" spans="1:5" x14ac:dyDescent="0.25">
      <c r="A473" s="110" t="s">
        <v>222</v>
      </c>
      <c r="B473" s="3" t="s">
        <v>33</v>
      </c>
      <c r="C473" s="6" t="s">
        <v>11</v>
      </c>
      <c r="D473" s="114" t="s">
        <v>209</v>
      </c>
      <c r="E473" s="117">
        <v>23.45</v>
      </c>
    </row>
    <row r="474" spans="1:5" x14ac:dyDescent="0.25">
      <c r="A474" s="110" t="s">
        <v>222</v>
      </c>
      <c r="B474" s="3" t="s">
        <v>33</v>
      </c>
      <c r="C474" s="6" t="s">
        <v>11</v>
      </c>
      <c r="D474" s="114" t="s">
        <v>210</v>
      </c>
      <c r="E474" s="117">
        <v>18.18</v>
      </c>
    </row>
    <row r="475" spans="1:5" x14ac:dyDescent="0.25">
      <c r="A475" s="110" t="s">
        <v>222</v>
      </c>
      <c r="B475" s="3" t="s">
        <v>33</v>
      </c>
      <c r="C475" s="6" t="s">
        <v>11</v>
      </c>
      <c r="D475" s="114" t="s">
        <v>211</v>
      </c>
      <c r="E475" s="117">
        <v>30.56</v>
      </c>
    </row>
    <row r="476" spans="1:5" x14ac:dyDescent="0.25">
      <c r="A476" s="110" t="s">
        <v>222</v>
      </c>
      <c r="B476" s="3" t="s">
        <v>33</v>
      </c>
      <c r="C476" s="6" t="s">
        <v>11</v>
      </c>
      <c r="D476" s="114" t="s">
        <v>209</v>
      </c>
      <c r="E476" s="117">
        <v>25.52</v>
      </c>
    </row>
    <row r="477" spans="1:5" x14ac:dyDescent="0.25">
      <c r="A477" s="110" t="s">
        <v>222</v>
      </c>
      <c r="B477" s="3" t="s">
        <v>33</v>
      </c>
      <c r="C477" s="6" t="s">
        <v>11</v>
      </c>
      <c r="D477" s="114" t="s">
        <v>210</v>
      </c>
      <c r="E477" s="117">
        <v>28.21</v>
      </c>
    </row>
    <row r="478" spans="1:5" x14ac:dyDescent="0.25">
      <c r="A478" s="110" t="s">
        <v>222</v>
      </c>
      <c r="B478" s="3" t="s">
        <v>33</v>
      </c>
      <c r="C478" s="6" t="s">
        <v>11</v>
      </c>
      <c r="D478" s="114" t="s">
        <v>211</v>
      </c>
      <c r="E478" s="117">
        <v>30.91</v>
      </c>
    </row>
    <row r="479" spans="1:5" x14ac:dyDescent="0.25">
      <c r="A479" s="110" t="s">
        <v>222</v>
      </c>
      <c r="B479" s="3" t="s">
        <v>33</v>
      </c>
      <c r="C479" s="7" t="s">
        <v>43</v>
      </c>
      <c r="D479" s="114" t="s">
        <v>209</v>
      </c>
      <c r="E479" s="117">
        <v>22.95</v>
      </c>
    </row>
    <row r="480" spans="1:5" x14ac:dyDescent="0.25">
      <c r="A480" s="110" t="s">
        <v>222</v>
      </c>
      <c r="B480" s="3" t="s">
        <v>33</v>
      </c>
      <c r="C480" s="7" t="s">
        <v>43</v>
      </c>
      <c r="D480" s="114" t="s">
        <v>210</v>
      </c>
      <c r="E480" s="117">
        <v>19.09</v>
      </c>
    </row>
    <row r="481" spans="1:5" x14ac:dyDescent="0.25">
      <c r="A481" s="110" t="s">
        <v>222</v>
      </c>
      <c r="B481" s="3" t="s">
        <v>33</v>
      </c>
      <c r="C481" s="7" t="s">
        <v>43</v>
      </c>
      <c r="D481" s="114" t="s">
        <v>211</v>
      </c>
      <c r="E481" s="117">
        <v>25.18</v>
      </c>
    </row>
    <row r="482" spans="1:5" x14ac:dyDescent="0.25">
      <c r="A482" s="110" t="s">
        <v>222</v>
      </c>
      <c r="B482" s="3" t="s">
        <v>33</v>
      </c>
      <c r="C482" s="7" t="s">
        <v>43</v>
      </c>
      <c r="D482" s="114" t="s">
        <v>209</v>
      </c>
      <c r="E482" s="117">
        <v>24.41</v>
      </c>
    </row>
    <row r="483" spans="1:5" x14ac:dyDescent="0.25">
      <c r="A483" s="110" t="s">
        <v>222</v>
      </c>
      <c r="B483" s="3" t="s">
        <v>33</v>
      </c>
      <c r="C483" s="7" t="s">
        <v>43</v>
      </c>
      <c r="D483" s="114" t="s">
        <v>210</v>
      </c>
      <c r="E483" s="117">
        <v>18.96</v>
      </c>
    </row>
    <row r="484" spans="1:5" x14ac:dyDescent="0.25">
      <c r="A484" s="110" t="s">
        <v>222</v>
      </c>
      <c r="B484" s="3" t="s">
        <v>33</v>
      </c>
      <c r="C484" s="7" t="s">
        <v>43</v>
      </c>
      <c r="D484" s="114" t="s">
        <v>211</v>
      </c>
      <c r="E484" s="117">
        <v>23.76</v>
      </c>
    </row>
    <row r="485" spans="1:5" x14ac:dyDescent="0.25">
      <c r="A485" s="110" t="s">
        <v>222</v>
      </c>
      <c r="B485" s="3" t="s">
        <v>33</v>
      </c>
      <c r="C485" s="7" t="s">
        <v>43</v>
      </c>
      <c r="D485" s="114" t="s">
        <v>209</v>
      </c>
      <c r="E485" s="117">
        <v>21.75</v>
      </c>
    </row>
    <row r="486" spans="1:5" x14ac:dyDescent="0.25">
      <c r="A486" s="110" t="s">
        <v>222</v>
      </c>
      <c r="B486" s="3" t="s">
        <v>33</v>
      </c>
      <c r="C486" s="7" t="s">
        <v>43</v>
      </c>
      <c r="D486" s="114" t="s">
        <v>210</v>
      </c>
      <c r="E486" s="117">
        <v>18.45</v>
      </c>
    </row>
    <row r="487" spans="1:5" x14ac:dyDescent="0.25">
      <c r="A487" s="111" t="s">
        <v>222</v>
      </c>
      <c r="B487" s="108" t="s">
        <v>33</v>
      </c>
      <c r="C487" s="104" t="s">
        <v>43</v>
      </c>
      <c r="D487" s="115" t="s">
        <v>211</v>
      </c>
      <c r="E487" s="118">
        <v>25.59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C9DF-9CCC-4AC9-A7B4-7E2D253C7E88}">
  <dimension ref="A1:P65"/>
  <sheetViews>
    <sheetView workbookViewId="0">
      <selection activeCell="F9" sqref="F9"/>
    </sheetView>
  </sheetViews>
  <sheetFormatPr defaultColWidth="11.5703125" defaultRowHeight="15" x14ac:dyDescent="0.25"/>
  <cols>
    <col min="3" max="3" width="37.28515625" customWidth="1"/>
    <col min="5" max="5" width="13.85546875" customWidth="1"/>
  </cols>
  <sheetData>
    <row r="1" spans="1:3" x14ac:dyDescent="0.25">
      <c r="A1" s="291" t="s">
        <v>155</v>
      </c>
      <c r="B1" s="291" t="s">
        <v>230</v>
      </c>
      <c r="C1" s="291" t="s">
        <v>231</v>
      </c>
    </row>
    <row r="2" spans="1:3" ht="30" x14ac:dyDescent="0.25">
      <c r="A2" s="291" t="s">
        <v>95</v>
      </c>
      <c r="B2" s="291" t="s">
        <v>232</v>
      </c>
      <c r="C2" s="292">
        <v>0.48899999999999999</v>
      </c>
    </row>
    <row r="3" spans="1:3" ht="30" x14ac:dyDescent="0.25">
      <c r="A3" s="291" t="s">
        <v>218</v>
      </c>
      <c r="B3" s="291" t="s">
        <v>232</v>
      </c>
      <c r="C3" s="292">
        <v>0.41199999999999998</v>
      </c>
    </row>
    <row r="4" spans="1:3" ht="30" x14ac:dyDescent="0.25">
      <c r="A4" s="291" t="s">
        <v>215</v>
      </c>
      <c r="B4" s="291" t="s">
        <v>232</v>
      </c>
      <c r="C4" s="292">
        <v>0.39900000000000002</v>
      </c>
    </row>
    <row r="5" spans="1:3" ht="30" x14ac:dyDescent="0.25">
      <c r="A5" s="291" t="s">
        <v>217</v>
      </c>
      <c r="B5" s="291" t="s">
        <v>232</v>
      </c>
      <c r="C5" s="292">
        <v>0.39200000000000002</v>
      </c>
    </row>
    <row r="6" spans="1:3" ht="30" x14ac:dyDescent="0.25">
      <c r="A6" s="293" t="s">
        <v>216</v>
      </c>
      <c r="B6" s="291" t="s">
        <v>232</v>
      </c>
      <c r="C6" s="292">
        <v>0.33500000000000002</v>
      </c>
    </row>
    <row r="7" spans="1:3" ht="30" x14ac:dyDescent="0.25">
      <c r="A7" s="291" t="s">
        <v>122</v>
      </c>
      <c r="B7" s="291" t="s">
        <v>232</v>
      </c>
      <c r="C7" s="292">
        <v>0.32700000000000001</v>
      </c>
    </row>
    <row r="8" spans="1:3" ht="30" x14ac:dyDescent="0.25">
      <c r="A8" s="291" t="s">
        <v>219</v>
      </c>
      <c r="B8" s="291" t="s">
        <v>232</v>
      </c>
      <c r="C8" s="292">
        <v>0.159</v>
      </c>
    </row>
    <row r="9" spans="1:3" ht="30" x14ac:dyDescent="0.25">
      <c r="A9" s="291" t="s">
        <v>222</v>
      </c>
      <c r="B9" s="291" t="s">
        <v>232</v>
      </c>
      <c r="C9" s="292">
        <v>8.0799999999999997E-2</v>
      </c>
    </row>
    <row r="10" spans="1:3" ht="30" x14ac:dyDescent="0.25">
      <c r="A10" s="293" t="s">
        <v>101</v>
      </c>
      <c r="B10" s="291" t="s">
        <v>232</v>
      </c>
      <c r="C10" s="292">
        <v>8.8400000000000006E-3</v>
      </c>
    </row>
    <row r="11" spans="1:3" x14ac:dyDescent="0.25">
      <c r="A11" s="291" t="s">
        <v>222</v>
      </c>
      <c r="B11" s="291" t="s">
        <v>105</v>
      </c>
      <c r="C11" s="292">
        <v>0.94499999999999995</v>
      </c>
    </row>
    <row r="12" spans="1:3" x14ac:dyDescent="0.25">
      <c r="A12" s="294" t="s">
        <v>101</v>
      </c>
      <c r="B12" s="291" t="s">
        <v>105</v>
      </c>
      <c r="C12" s="292">
        <v>0.82</v>
      </c>
    </row>
    <row r="13" spans="1:3" x14ac:dyDescent="0.25">
      <c r="A13" s="293" t="s">
        <v>216</v>
      </c>
      <c r="B13" s="291" t="s">
        <v>105</v>
      </c>
      <c r="C13" s="292">
        <v>0.752</v>
      </c>
    </row>
    <row r="14" spans="1:3" x14ac:dyDescent="0.25">
      <c r="A14" s="291" t="s">
        <v>122</v>
      </c>
      <c r="B14" s="291" t="s">
        <v>105</v>
      </c>
      <c r="C14" s="292">
        <v>0.69499999999999995</v>
      </c>
    </row>
    <row r="15" spans="1:3" x14ac:dyDescent="0.25">
      <c r="A15" s="291" t="s">
        <v>215</v>
      </c>
      <c r="B15" s="291" t="s">
        <v>105</v>
      </c>
      <c r="C15" s="292">
        <v>0.58799999999999997</v>
      </c>
    </row>
    <row r="16" spans="1:3" x14ac:dyDescent="0.25">
      <c r="A16" s="291" t="s">
        <v>217</v>
      </c>
      <c r="B16" s="291" t="s">
        <v>105</v>
      </c>
      <c r="C16" s="292">
        <v>0.45200000000000001</v>
      </c>
    </row>
    <row r="17" spans="1:16" x14ac:dyDescent="0.25">
      <c r="A17" s="291" t="s">
        <v>218</v>
      </c>
      <c r="B17" s="291" t="s">
        <v>105</v>
      </c>
      <c r="C17" s="292">
        <v>0.41699999999999998</v>
      </c>
    </row>
    <row r="18" spans="1:16" x14ac:dyDescent="0.25">
      <c r="A18" s="291" t="s">
        <v>219</v>
      </c>
      <c r="B18" s="291" t="s">
        <v>105</v>
      </c>
      <c r="C18" s="292">
        <v>0.41199999999999998</v>
      </c>
    </row>
    <row r="19" spans="1:16" x14ac:dyDescent="0.25">
      <c r="A19" s="291" t="s">
        <v>95</v>
      </c>
      <c r="B19" s="291" t="s">
        <v>105</v>
      </c>
      <c r="C19" s="292">
        <v>0.17</v>
      </c>
    </row>
    <row r="20" spans="1:16" x14ac:dyDescent="0.25">
      <c r="A20" s="291" t="s">
        <v>219</v>
      </c>
      <c r="B20" s="291" t="s">
        <v>229</v>
      </c>
      <c r="C20" s="301">
        <v>6.0999999999999999E-5</v>
      </c>
      <c r="G20" s="295"/>
      <c r="H20" s="295"/>
      <c r="I20" s="295"/>
      <c r="J20" s="295"/>
      <c r="L20" s="295"/>
      <c r="M20" s="295"/>
      <c r="N20" s="295"/>
      <c r="O20" s="295"/>
    </row>
    <row r="21" spans="1:16" x14ac:dyDescent="0.25">
      <c r="A21" s="291" t="s">
        <v>95</v>
      </c>
      <c r="B21" s="291" t="s">
        <v>229</v>
      </c>
      <c r="C21" s="301">
        <v>1.24E-8</v>
      </c>
      <c r="F21" s="295"/>
      <c r="G21" s="296"/>
      <c r="H21" s="296"/>
      <c r="I21" s="296"/>
      <c r="J21" s="296"/>
      <c r="K21" s="296"/>
      <c r="L21" s="296"/>
      <c r="M21" s="296"/>
      <c r="N21" s="296"/>
      <c r="O21" s="296"/>
      <c r="P21" s="296"/>
    </row>
    <row r="22" spans="1:16" x14ac:dyDescent="0.25">
      <c r="A22" s="291" t="s">
        <v>218</v>
      </c>
      <c r="B22" s="291" t="s">
        <v>229</v>
      </c>
      <c r="C22" s="301">
        <v>6.1300000000000001E-9</v>
      </c>
      <c r="F22" s="295"/>
      <c r="G22" s="296"/>
      <c r="H22" s="296"/>
      <c r="I22" s="296"/>
      <c r="J22" s="296"/>
      <c r="K22" s="296"/>
      <c r="L22" s="296"/>
      <c r="M22" s="296"/>
      <c r="N22" s="296"/>
      <c r="O22" s="296"/>
      <c r="P22" s="296"/>
    </row>
    <row r="23" spans="1:16" x14ac:dyDescent="0.25">
      <c r="A23" s="294" t="s">
        <v>122</v>
      </c>
      <c r="B23" s="291" t="s">
        <v>229</v>
      </c>
      <c r="C23" s="301">
        <v>3.34E-9</v>
      </c>
      <c r="F23" s="295"/>
      <c r="G23" s="297"/>
      <c r="N23" s="297"/>
    </row>
    <row r="24" spans="1:16" x14ac:dyDescent="0.25">
      <c r="A24" s="291" t="s">
        <v>101</v>
      </c>
      <c r="B24" s="291" t="s">
        <v>229</v>
      </c>
      <c r="C24" s="301">
        <v>1.7599999999999999E-9</v>
      </c>
    </row>
    <row r="25" spans="1:16" x14ac:dyDescent="0.25">
      <c r="A25" s="291" t="s">
        <v>217</v>
      </c>
      <c r="B25" s="291" t="s">
        <v>229</v>
      </c>
      <c r="C25" s="301">
        <v>1.27E-14</v>
      </c>
    </row>
    <row r="26" spans="1:16" x14ac:dyDescent="0.25">
      <c r="A26" s="293" t="s">
        <v>216</v>
      </c>
      <c r="B26" s="291" t="s">
        <v>229</v>
      </c>
      <c r="C26" s="301">
        <v>1.23E-18</v>
      </c>
    </row>
    <row r="27" spans="1:16" x14ac:dyDescent="0.25">
      <c r="A27" s="291" t="s">
        <v>222</v>
      </c>
      <c r="B27" s="291" t="s">
        <v>229</v>
      </c>
      <c r="C27" s="301">
        <v>3.6100000000000001E-20</v>
      </c>
    </row>
    <row r="28" spans="1:16" x14ac:dyDescent="0.25">
      <c r="A28" s="291" t="s">
        <v>215</v>
      </c>
      <c r="B28" s="291" t="s">
        <v>229</v>
      </c>
      <c r="C28" s="301">
        <v>2.8799999999999999E-20</v>
      </c>
      <c r="E28" s="196"/>
    </row>
    <row r="29" spans="1:16" x14ac:dyDescent="0.25">
      <c r="A29" s="291" t="s">
        <v>218</v>
      </c>
      <c r="B29" s="291" t="s">
        <v>233</v>
      </c>
      <c r="C29" s="292">
        <v>0.61599999999999999</v>
      </c>
    </row>
    <row r="30" spans="1:16" x14ac:dyDescent="0.25">
      <c r="A30" s="291" t="s">
        <v>122</v>
      </c>
      <c r="B30" s="291" t="s">
        <v>233</v>
      </c>
      <c r="C30" s="292">
        <v>3.2599999999999997E-2</v>
      </c>
    </row>
    <row r="31" spans="1:16" x14ac:dyDescent="0.25">
      <c r="A31" s="294" t="s">
        <v>101</v>
      </c>
      <c r="B31" s="291" t="s">
        <v>233</v>
      </c>
      <c r="C31" s="292">
        <v>2.98E-2</v>
      </c>
    </row>
    <row r="32" spans="1:16" x14ac:dyDescent="0.25">
      <c r="A32" s="291" t="s">
        <v>95</v>
      </c>
      <c r="B32" s="291" t="s">
        <v>233</v>
      </c>
      <c r="C32" s="292">
        <v>2.3599999999999999E-2</v>
      </c>
    </row>
    <row r="33" spans="1:3" x14ac:dyDescent="0.25">
      <c r="A33" s="291" t="s">
        <v>217</v>
      </c>
      <c r="B33" s="291" t="s">
        <v>233</v>
      </c>
      <c r="C33" s="292">
        <v>1.15E-2</v>
      </c>
    </row>
    <row r="34" spans="1:3" x14ac:dyDescent="0.25">
      <c r="A34" s="291" t="s">
        <v>219</v>
      </c>
      <c r="B34" s="291" t="s">
        <v>233</v>
      </c>
      <c r="C34" s="292">
        <v>4.0400000000000002E-3</v>
      </c>
    </row>
    <row r="35" spans="1:3" x14ac:dyDescent="0.25">
      <c r="A35" s="291" t="s">
        <v>222</v>
      </c>
      <c r="B35" s="291" t="s">
        <v>233</v>
      </c>
      <c r="C35" s="292">
        <v>1.3699999999999999E-3</v>
      </c>
    </row>
    <row r="36" spans="1:3" x14ac:dyDescent="0.25">
      <c r="A36" s="293" t="s">
        <v>216</v>
      </c>
      <c r="B36" s="291" t="s">
        <v>233</v>
      </c>
      <c r="C36" s="298">
        <v>3.68E-4</v>
      </c>
    </row>
    <row r="37" spans="1:3" x14ac:dyDescent="0.25">
      <c r="A37" s="291" t="s">
        <v>215</v>
      </c>
      <c r="B37" s="291" t="s">
        <v>233</v>
      </c>
      <c r="C37" s="298">
        <v>2.7999999999999998E-4</v>
      </c>
    </row>
    <row r="38" spans="1:3" x14ac:dyDescent="0.25">
      <c r="A38" s="291" t="s">
        <v>222</v>
      </c>
      <c r="B38" s="291" t="s">
        <v>234</v>
      </c>
      <c r="C38" s="292">
        <v>0.82799999999999996</v>
      </c>
    </row>
    <row r="39" spans="1:3" x14ac:dyDescent="0.25">
      <c r="A39" s="291" t="s">
        <v>122</v>
      </c>
      <c r="B39" s="291" t="s">
        <v>234</v>
      </c>
      <c r="C39" s="292">
        <v>0.78300000000000003</v>
      </c>
    </row>
    <row r="40" spans="1:3" x14ac:dyDescent="0.25">
      <c r="A40" s="294" t="s">
        <v>101</v>
      </c>
      <c r="B40" s="291" t="s">
        <v>234</v>
      </c>
      <c r="C40" s="292">
        <v>0.69899999999999995</v>
      </c>
    </row>
    <row r="41" spans="1:3" x14ac:dyDescent="0.25">
      <c r="A41" s="291" t="s">
        <v>95</v>
      </c>
      <c r="B41" s="291" t="s">
        <v>234</v>
      </c>
      <c r="C41" s="292">
        <v>0.56399999999999995</v>
      </c>
    </row>
    <row r="42" spans="1:3" x14ac:dyDescent="0.25">
      <c r="A42" s="293" t="s">
        <v>216</v>
      </c>
      <c r="B42" s="291" t="s">
        <v>234</v>
      </c>
      <c r="C42" s="292">
        <v>0.41599999999999998</v>
      </c>
    </row>
    <row r="43" spans="1:3" x14ac:dyDescent="0.25">
      <c r="A43" s="291" t="s">
        <v>219</v>
      </c>
      <c r="B43" s="291" t="s">
        <v>234</v>
      </c>
      <c r="C43" s="292">
        <v>0.33500000000000002</v>
      </c>
    </row>
    <row r="44" spans="1:3" x14ac:dyDescent="0.25">
      <c r="A44" s="291" t="s">
        <v>217</v>
      </c>
      <c r="B44" s="291" t="s">
        <v>234</v>
      </c>
      <c r="C44" s="292">
        <v>0.30399999999999999</v>
      </c>
    </row>
    <row r="45" spans="1:3" x14ac:dyDescent="0.25">
      <c r="A45" s="291" t="s">
        <v>215</v>
      </c>
      <c r="B45" s="291" t="s">
        <v>234</v>
      </c>
      <c r="C45" s="292">
        <v>0.27300000000000002</v>
      </c>
    </row>
    <row r="46" spans="1:3" x14ac:dyDescent="0.25">
      <c r="A46" s="291" t="s">
        <v>218</v>
      </c>
      <c r="B46" s="291" t="s">
        <v>234</v>
      </c>
      <c r="C46" s="292">
        <v>2.9700000000000001E-2</v>
      </c>
    </row>
    <row r="47" spans="1:3" x14ac:dyDescent="0.25">
      <c r="A47" s="291" t="s">
        <v>218</v>
      </c>
      <c r="B47" s="291" t="s">
        <v>235</v>
      </c>
      <c r="C47" s="292">
        <v>0.94</v>
      </c>
    </row>
    <row r="48" spans="1:3" x14ac:dyDescent="0.25">
      <c r="A48" s="293" t="s">
        <v>101</v>
      </c>
      <c r="B48" s="291" t="s">
        <v>235</v>
      </c>
      <c r="C48" s="292">
        <v>0.83899999999999997</v>
      </c>
    </row>
    <row r="49" spans="1:3" x14ac:dyDescent="0.25">
      <c r="A49" s="291" t="s">
        <v>95</v>
      </c>
      <c r="B49" s="291" t="s">
        <v>235</v>
      </c>
      <c r="C49" s="292">
        <v>0.71799999999999997</v>
      </c>
    </row>
    <row r="50" spans="1:3" x14ac:dyDescent="0.25">
      <c r="A50" s="291" t="s">
        <v>219</v>
      </c>
      <c r="B50" s="291" t="s">
        <v>235</v>
      </c>
      <c r="C50" s="292">
        <v>0.71699999999999997</v>
      </c>
    </row>
    <row r="51" spans="1:3" x14ac:dyDescent="0.25">
      <c r="A51" s="291" t="s">
        <v>217</v>
      </c>
      <c r="B51" s="291" t="s">
        <v>235</v>
      </c>
      <c r="C51" s="292">
        <v>0.70899999999999996</v>
      </c>
    </row>
    <row r="52" spans="1:3" x14ac:dyDescent="0.25">
      <c r="A52" s="291" t="s">
        <v>215</v>
      </c>
      <c r="B52" s="291" t="s">
        <v>235</v>
      </c>
      <c r="C52" s="292">
        <v>0.47299999999999998</v>
      </c>
    </row>
    <row r="53" spans="1:3" x14ac:dyDescent="0.25">
      <c r="A53" s="291" t="s">
        <v>216</v>
      </c>
      <c r="B53" s="291" t="s">
        <v>235</v>
      </c>
      <c r="C53" s="292">
        <v>0.441</v>
      </c>
    </row>
    <row r="54" spans="1:3" x14ac:dyDescent="0.25">
      <c r="A54" s="291" t="s">
        <v>222</v>
      </c>
      <c r="B54" s="291" t="s">
        <v>235</v>
      </c>
      <c r="C54" s="292">
        <v>0.42199999999999999</v>
      </c>
    </row>
    <row r="55" spans="1:3" x14ac:dyDescent="0.25">
      <c r="A55" s="294" t="s">
        <v>122</v>
      </c>
      <c r="B55" s="291" t="s">
        <v>235</v>
      </c>
      <c r="C55" s="292">
        <v>0.28699999999999998</v>
      </c>
    </row>
    <row r="56" spans="1:3" ht="30" x14ac:dyDescent="0.25">
      <c r="A56" s="291" t="s">
        <v>218</v>
      </c>
      <c r="B56" s="291" t="s">
        <v>236</v>
      </c>
      <c r="C56" s="292">
        <v>1</v>
      </c>
    </row>
    <row r="57" spans="1:3" ht="30" x14ac:dyDescent="0.25">
      <c r="A57" s="291" t="s">
        <v>222</v>
      </c>
      <c r="B57" s="291" t="s">
        <v>236</v>
      </c>
      <c r="C57" s="292">
        <v>0.92400000000000004</v>
      </c>
    </row>
    <row r="58" spans="1:3" ht="30" x14ac:dyDescent="0.25">
      <c r="A58" s="291" t="s">
        <v>219</v>
      </c>
      <c r="B58" s="291" t="s">
        <v>236</v>
      </c>
      <c r="C58" s="292">
        <v>0.92</v>
      </c>
    </row>
    <row r="59" spans="1:3" ht="30" x14ac:dyDescent="0.25">
      <c r="A59" s="291" t="s">
        <v>95</v>
      </c>
      <c r="B59" s="291" t="s">
        <v>236</v>
      </c>
      <c r="C59" s="292">
        <v>0.88200000000000001</v>
      </c>
    </row>
    <row r="60" spans="1:3" ht="30" x14ac:dyDescent="0.25">
      <c r="A60" s="291" t="s">
        <v>217</v>
      </c>
      <c r="B60" s="291" t="s">
        <v>236</v>
      </c>
      <c r="C60" s="292">
        <v>0.84099999999999997</v>
      </c>
    </row>
    <row r="61" spans="1:3" ht="30" x14ac:dyDescent="0.25">
      <c r="A61" s="291" t="s">
        <v>122</v>
      </c>
      <c r="B61" s="291" t="s">
        <v>236</v>
      </c>
      <c r="C61" s="292">
        <v>0.80100000000000005</v>
      </c>
    </row>
    <row r="62" spans="1:3" ht="30" x14ac:dyDescent="0.25">
      <c r="A62" s="291" t="s">
        <v>215</v>
      </c>
      <c r="B62" s="291" t="s">
        <v>236</v>
      </c>
      <c r="C62" s="292">
        <v>0.77400000000000002</v>
      </c>
    </row>
    <row r="63" spans="1:3" ht="30" x14ac:dyDescent="0.25">
      <c r="A63" s="299" t="s">
        <v>216</v>
      </c>
      <c r="B63" s="291" t="s">
        <v>236</v>
      </c>
      <c r="C63" s="292">
        <v>0.76400000000000001</v>
      </c>
    </row>
    <row r="64" spans="1:3" ht="30" x14ac:dyDescent="0.25">
      <c r="A64" s="291" t="s">
        <v>101</v>
      </c>
      <c r="B64" s="291" t="s">
        <v>236</v>
      </c>
      <c r="C64" s="292">
        <v>0.38100000000000001</v>
      </c>
    </row>
    <row r="65" spans="3:3" x14ac:dyDescent="0.25">
      <c r="C65" s="30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63EF-F259-4878-8AD8-A0A0A18C3467}">
  <dimension ref="A1:G109"/>
  <sheetViews>
    <sheetView tabSelected="1" workbookViewId="0">
      <selection activeCell="J12" sqref="J12"/>
    </sheetView>
  </sheetViews>
  <sheetFormatPr defaultRowHeight="15" x14ac:dyDescent="0.25"/>
  <cols>
    <col min="3" max="3" width="13.42578125" customWidth="1"/>
    <col min="4" max="4" width="12.5703125" customWidth="1"/>
    <col min="5" max="6" width="15" customWidth="1"/>
    <col min="7" max="7" width="9.140625" bestFit="1" customWidth="1"/>
  </cols>
  <sheetData>
    <row r="1" spans="1:7" x14ac:dyDescent="0.25">
      <c r="A1" s="307" t="s">
        <v>155</v>
      </c>
      <c r="B1" s="307" t="s">
        <v>250</v>
      </c>
      <c r="C1" s="91" t="s">
        <v>104</v>
      </c>
      <c r="D1" s="91" t="s">
        <v>105</v>
      </c>
      <c r="E1" s="304" t="s">
        <v>229</v>
      </c>
      <c r="F1" s="304" t="s">
        <v>247</v>
      </c>
      <c r="G1" s="308" t="s">
        <v>223</v>
      </c>
    </row>
    <row r="2" spans="1:7" ht="17.25" x14ac:dyDescent="0.25">
      <c r="A2" s="293" t="s">
        <v>224</v>
      </c>
      <c r="B2" s="293" t="s">
        <v>248</v>
      </c>
      <c r="C2" s="309" t="s">
        <v>23</v>
      </c>
      <c r="D2" s="312" t="s">
        <v>43</v>
      </c>
      <c r="E2" s="305" t="s">
        <v>209</v>
      </c>
      <c r="F2" s="305">
        <v>1.206149596586704</v>
      </c>
      <c r="G2" s="306">
        <v>8.1401175916037599E-2</v>
      </c>
    </row>
    <row r="3" spans="1:7" ht="17.25" x14ac:dyDescent="0.25">
      <c r="A3" s="293" t="s">
        <v>224</v>
      </c>
      <c r="B3" s="293" t="s">
        <v>248</v>
      </c>
      <c r="C3" s="309" t="s">
        <v>23</v>
      </c>
      <c r="D3" s="312" t="s">
        <v>43</v>
      </c>
      <c r="E3" s="305" t="s">
        <v>209</v>
      </c>
      <c r="F3" s="305">
        <v>8.817404527532445E-2</v>
      </c>
      <c r="G3" s="306">
        <v>-1.0546592340580125</v>
      </c>
    </row>
    <row r="4" spans="1:7" ht="17.25" x14ac:dyDescent="0.25">
      <c r="A4" s="293" t="s">
        <v>224</v>
      </c>
      <c r="B4" s="293" t="s">
        <v>248</v>
      </c>
      <c r="C4" s="309" t="s">
        <v>23</v>
      </c>
      <c r="D4" s="312" t="s">
        <v>43</v>
      </c>
      <c r="E4" s="305" t="s">
        <v>209</v>
      </c>
      <c r="F4" s="305">
        <v>9.4028186086561671</v>
      </c>
      <c r="G4" s="306">
        <v>0.97325805814197119</v>
      </c>
    </row>
    <row r="5" spans="1:7" ht="17.25" x14ac:dyDescent="0.25">
      <c r="A5" s="293" t="s">
        <v>224</v>
      </c>
      <c r="B5" s="293" t="s">
        <v>248</v>
      </c>
      <c r="C5" s="309" t="s">
        <v>23</v>
      </c>
      <c r="D5" s="312" t="s">
        <v>43</v>
      </c>
      <c r="E5" s="305" t="s">
        <v>210</v>
      </c>
      <c r="F5" s="305">
        <v>1.3304043372926766</v>
      </c>
      <c r="G5" s="306">
        <v>0.12398365207075729</v>
      </c>
    </row>
    <row r="6" spans="1:7" ht="17.25" x14ac:dyDescent="0.25">
      <c r="A6" s="293" t="s">
        <v>224</v>
      </c>
      <c r="B6" s="293" t="s">
        <v>248</v>
      </c>
      <c r="C6" s="309" t="s">
        <v>23</v>
      </c>
      <c r="D6" s="312" t="s">
        <v>43</v>
      </c>
      <c r="E6" s="305" t="s">
        <v>210</v>
      </c>
      <c r="F6" s="305">
        <v>0.13480904889542394</v>
      </c>
      <c r="G6" s="306">
        <v>-0.87028095532701522</v>
      </c>
    </row>
    <row r="7" spans="1:7" ht="17.25" x14ac:dyDescent="0.25">
      <c r="A7" s="293" t="s">
        <v>224</v>
      </c>
      <c r="B7" s="293" t="s">
        <v>248</v>
      </c>
      <c r="C7" s="309" t="s">
        <v>23</v>
      </c>
      <c r="D7" s="312" t="s">
        <v>43</v>
      </c>
      <c r="E7" s="305" t="s">
        <v>210</v>
      </c>
      <c r="F7" s="305">
        <v>5.5756730996390562</v>
      </c>
      <c r="G7" s="306">
        <v>0.74629730325625998</v>
      </c>
    </row>
    <row r="8" spans="1:7" ht="17.25" x14ac:dyDescent="0.25">
      <c r="A8" s="293" t="s">
        <v>224</v>
      </c>
      <c r="B8" s="293" t="s">
        <v>248</v>
      </c>
      <c r="C8" s="309" t="s">
        <v>23</v>
      </c>
      <c r="D8" s="312" t="s">
        <v>43</v>
      </c>
      <c r="E8" s="305" t="s">
        <v>211</v>
      </c>
      <c r="F8" s="305">
        <v>1.1859871035490648</v>
      </c>
      <c r="G8" s="306">
        <v>7.407996652577406E-2</v>
      </c>
    </row>
    <row r="9" spans="1:7" ht="17.25" x14ac:dyDescent="0.25">
      <c r="A9" s="293" t="s">
        <v>224</v>
      </c>
      <c r="B9" s="293" t="s">
        <v>248</v>
      </c>
      <c r="C9" s="309" t="s">
        <v>23</v>
      </c>
      <c r="D9" s="312" t="s">
        <v>43</v>
      </c>
      <c r="E9" s="305" t="s">
        <v>211</v>
      </c>
      <c r="F9" s="305">
        <v>0.28217181350069853</v>
      </c>
      <c r="G9" s="306">
        <v>-0.54948637064009398</v>
      </c>
    </row>
    <row r="10" spans="1:7" ht="17.25" x14ac:dyDescent="0.25">
      <c r="A10" s="293" t="s">
        <v>224</v>
      </c>
      <c r="B10" s="293" t="s">
        <v>248</v>
      </c>
      <c r="C10" s="309" t="s">
        <v>23</v>
      </c>
      <c r="D10" s="312" t="s">
        <v>43</v>
      </c>
      <c r="E10" s="305" t="s">
        <v>211</v>
      </c>
      <c r="F10" s="305">
        <v>2.9881775879645582</v>
      </c>
      <c r="G10" s="306">
        <v>0.47540640411431961</v>
      </c>
    </row>
    <row r="11" spans="1:7" ht="17.25" x14ac:dyDescent="0.25">
      <c r="A11" s="293" t="s">
        <v>224</v>
      </c>
      <c r="B11" s="293" t="s">
        <v>248</v>
      </c>
      <c r="C11" s="310" t="s">
        <v>10</v>
      </c>
      <c r="D11" s="312" t="s">
        <v>43</v>
      </c>
      <c r="E11" s="305" t="s">
        <v>209</v>
      </c>
      <c r="F11" s="305">
        <v>83.786907269962938</v>
      </c>
      <c r="G11" s="306">
        <v>1.9231761601022763</v>
      </c>
    </row>
    <row r="12" spans="1:7" ht="17.25" x14ac:dyDescent="0.25">
      <c r="A12" s="293" t="s">
        <v>224</v>
      </c>
      <c r="B12" s="293" t="s">
        <v>248</v>
      </c>
      <c r="C12" s="310" t="s">
        <v>10</v>
      </c>
      <c r="D12" s="312" t="s">
        <v>43</v>
      </c>
      <c r="E12" s="305" t="s">
        <v>209</v>
      </c>
      <c r="F12" s="305">
        <v>75.836382428320618</v>
      </c>
      <c r="G12" s="306">
        <v>1.8798776079680635</v>
      </c>
    </row>
    <row r="13" spans="1:7" ht="17.25" x14ac:dyDescent="0.25">
      <c r="A13" s="293" t="s">
        <v>224</v>
      </c>
      <c r="B13" s="293" t="s">
        <v>248</v>
      </c>
      <c r="C13" s="310" t="s">
        <v>10</v>
      </c>
      <c r="D13" s="312" t="s">
        <v>43</v>
      </c>
      <c r="E13" s="305" t="s">
        <v>209</v>
      </c>
      <c r="F13" s="305">
        <v>1.2437998517395801</v>
      </c>
      <c r="G13" s="306">
        <v>9.475050070978773E-2</v>
      </c>
    </row>
    <row r="14" spans="1:7" ht="17.25" x14ac:dyDescent="0.25">
      <c r="A14" s="293" t="s">
        <v>224</v>
      </c>
      <c r="B14" s="293" t="s">
        <v>248</v>
      </c>
      <c r="C14" s="310" t="s">
        <v>10</v>
      </c>
      <c r="D14" s="312" t="s">
        <v>43</v>
      </c>
      <c r="E14" s="305" t="s">
        <v>210</v>
      </c>
      <c r="F14" s="305">
        <v>58.41300745894366</v>
      </c>
      <c r="G14" s="306">
        <v>1.7665095669518942</v>
      </c>
    </row>
    <row r="15" spans="1:7" ht="17.25" x14ac:dyDescent="0.25">
      <c r="A15" s="293" t="s">
        <v>224</v>
      </c>
      <c r="B15" s="293" t="s">
        <v>248</v>
      </c>
      <c r="C15" s="310" t="s">
        <v>10</v>
      </c>
      <c r="D15" s="312" t="s">
        <v>43</v>
      </c>
      <c r="E15" s="305" t="s">
        <v>210</v>
      </c>
      <c r="F15" s="305">
        <v>7.3389560407996717</v>
      </c>
      <c r="G15" s="306">
        <v>0.86563428635131034</v>
      </c>
    </row>
    <row r="16" spans="1:7" ht="17.25" x14ac:dyDescent="0.25">
      <c r="A16" s="293" t="s">
        <v>224</v>
      </c>
      <c r="B16" s="293" t="s">
        <v>248</v>
      </c>
      <c r="C16" s="310" t="s">
        <v>10</v>
      </c>
      <c r="D16" s="312" t="s">
        <v>43</v>
      </c>
      <c r="E16" s="305" t="s">
        <v>210</v>
      </c>
      <c r="F16" s="305">
        <v>0.15146172614050779</v>
      </c>
      <c r="G16" s="306">
        <v>-0.81969709802622326</v>
      </c>
    </row>
    <row r="17" spans="1:7" ht="17.25" x14ac:dyDescent="0.25">
      <c r="A17" s="293" t="s">
        <v>224</v>
      </c>
      <c r="B17" s="293" t="s">
        <v>248</v>
      </c>
      <c r="C17" s="310" t="s">
        <v>10</v>
      </c>
      <c r="D17" s="312" t="s">
        <v>43</v>
      </c>
      <c r="E17" s="305" t="s">
        <v>211</v>
      </c>
      <c r="F17" s="305">
        <v>85.700668587044447</v>
      </c>
      <c r="G17" s="306">
        <v>1.932984210050753</v>
      </c>
    </row>
    <row r="18" spans="1:7" ht="17.25" x14ac:dyDescent="0.25">
      <c r="A18" s="293" t="s">
        <v>224</v>
      </c>
      <c r="B18" s="293" t="s">
        <v>248</v>
      </c>
      <c r="C18" s="310" t="s">
        <v>10</v>
      </c>
      <c r="D18" s="312" t="s">
        <v>43</v>
      </c>
      <c r="E18" s="305" t="s">
        <v>211</v>
      </c>
      <c r="F18" s="305">
        <v>8.7926631860584887</v>
      </c>
      <c r="G18" s="306">
        <v>0.9441204372843528</v>
      </c>
    </row>
    <row r="19" spans="1:7" ht="17.25" x14ac:dyDescent="0.25">
      <c r="A19" s="293" t="s">
        <v>224</v>
      </c>
      <c r="B19" s="293" t="s">
        <v>248</v>
      </c>
      <c r="C19" s="310" t="s">
        <v>10</v>
      </c>
      <c r="D19" s="312" t="s">
        <v>43</v>
      </c>
      <c r="E19" s="305" t="s">
        <v>211</v>
      </c>
      <c r="F19" s="305">
        <v>0.33150447753389201</v>
      </c>
      <c r="G19" s="306">
        <v>-0.47951060133121587</v>
      </c>
    </row>
    <row r="20" spans="1:7" ht="17.25" x14ac:dyDescent="0.25">
      <c r="A20" s="293" t="s">
        <v>224</v>
      </c>
      <c r="B20" s="293" t="s">
        <v>248</v>
      </c>
      <c r="C20" s="311" t="s">
        <v>33</v>
      </c>
      <c r="D20" s="312" t="s">
        <v>43</v>
      </c>
      <c r="E20" s="305" t="s">
        <v>209</v>
      </c>
      <c r="F20" s="305">
        <v>60.318857307378451</v>
      </c>
      <c r="G20" s="306">
        <v>1.7804531055772235</v>
      </c>
    </row>
    <row r="21" spans="1:7" ht="17.25" x14ac:dyDescent="0.25">
      <c r="A21" s="293" t="s">
        <v>224</v>
      </c>
      <c r="B21" s="293" t="s">
        <v>248</v>
      </c>
      <c r="C21" s="311" t="s">
        <v>33</v>
      </c>
      <c r="D21" s="312" t="s">
        <v>43</v>
      </c>
      <c r="E21" s="305" t="s">
        <v>209</v>
      </c>
      <c r="F21" s="305">
        <v>12.459984171530719</v>
      </c>
      <c r="G21" s="306">
        <v>1.0955174906200023</v>
      </c>
    </row>
    <row r="22" spans="1:7" ht="17.25" x14ac:dyDescent="0.25">
      <c r="A22" s="293" t="s">
        <v>224</v>
      </c>
      <c r="B22" s="293" t="s">
        <v>248</v>
      </c>
      <c r="C22" s="311" t="s">
        <v>33</v>
      </c>
      <c r="D22" s="312" t="s">
        <v>43</v>
      </c>
      <c r="E22" s="305" t="s">
        <v>209</v>
      </c>
      <c r="F22" s="305">
        <v>191.93734129602126</v>
      </c>
      <c r="G22" s="306">
        <v>2.2831594746895694</v>
      </c>
    </row>
    <row r="23" spans="1:7" ht="17.25" x14ac:dyDescent="0.25">
      <c r="A23" s="293" t="s">
        <v>224</v>
      </c>
      <c r="B23" s="293" t="s">
        <v>248</v>
      </c>
      <c r="C23" s="311" t="s">
        <v>33</v>
      </c>
      <c r="D23" s="312" t="s">
        <v>43</v>
      </c>
      <c r="E23" s="305" t="s">
        <v>210</v>
      </c>
      <c r="F23" s="305">
        <v>3969.0918835248294</v>
      </c>
      <c r="G23" s="306">
        <v>3.5986911528365959</v>
      </c>
    </row>
    <row r="24" spans="1:7" ht="17.25" x14ac:dyDescent="0.25">
      <c r="A24" s="293" t="s">
        <v>224</v>
      </c>
      <c r="B24" s="293" t="s">
        <v>248</v>
      </c>
      <c r="C24" s="311" t="s">
        <v>33</v>
      </c>
      <c r="D24" s="312" t="s">
        <v>43</v>
      </c>
      <c r="E24" s="305" t="s">
        <v>210</v>
      </c>
      <c r="F24" s="305">
        <v>109.77185994376639</v>
      </c>
      <c r="G24" s="306">
        <v>2.0404910228331361</v>
      </c>
    </row>
    <row r="25" spans="1:7" ht="17.25" x14ac:dyDescent="0.25">
      <c r="A25" s="293" t="s">
        <v>224</v>
      </c>
      <c r="B25" s="293" t="s">
        <v>248</v>
      </c>
      <c r="C25" s="311" t="s">
        <v>33</v>
      </c>
      <c r="D25" s="312" t="s">
        <v>43</v>
      </c>
      <c r="E25" s="305" t="s">
        <v>210</v>
      </c>
      <c r="F25" s="305">
        <v>308.08209125231014</v>
      </c>
      <c r="G25" s="306">
        <v>2.4886664536030416</v>
      </c>
    </row>
    <row r="26" spans="1:7" ht="17.25" x14ac:dyDescent="0.25">
      <c r="A26" s="293" t="s">
        <v>224</v>
      </c>
      <c r="B26" s="293" t="s">
        <v>248</v>
      </c>
      <c r="C26" s="311" t="s">
        <v>33</v>
      </c>
      <c r="D26" s="312" t="s">
        <v>43</v>
      </c>
      <c r="E26" s="305" t="s">
        <v>211</v>
      </c>
      <c r="F26" s="305">
        <v>20.009899054497065</v>
      </c>
      <c r="G26" s="306">
        <v>1.3012448977223943</v>
      </c>
    </row>
    <row r="27" spans="1:7" ht="17.25" x14ac:dyDescent="0.25">
      <c r="A27" s="293" t="s">
        <v>224</v>
      </c>
      <c r="B27" s="293" t="s">
        <v>248</v>
      </c>
      <c r="C27" s="311" t="s">
        <v>33</v>
      </c>
      <c r="D27" s="312" t="s">
        <v>43</v>
      </c>
      <c r="E27" s="305" t="s">
        <v>211</v>
      </c>
      <c r="F27" s="305">
        <v>22.150192495553867</v>
      </c>
      <c r="G27" s="306">
        <v>1.3453775047980758</v>
      </c>
    </row>
    <row r="28" spans="1:7" ht="17.25" x14ac:dyDescent="0.25">
      <c r="A28" s="293" t="s">
        <v>224</v>
      </c>
      <c r="B28" s="293" t="s">
        <v>248</v>
      </c>
      <c r="C28" s="311" t="s">
        <v>33</v>
      </c>
      <c r="D28" s="312" t="s">
        <v>43</v>
      </c>
      <c r="E28" s="305" t="s">
        <v>211</v>
      </c>
      <c r="F28" s="305">
        <v>43.52216753426125</v>
      </c>
      <c r="G28" s="306">
        <v>1.638710516394343</v>
      </c>
    </row>
    <row r="29" spans="1:7" ht="17.25" x14ac:dyDescent="0.25">
      <c r="A29" s="293" t="s">
        <v>224</v>
      </c>
      <c r="B29" s="293" t="s">
        <v>248</v>
      </c>
      <c r="C29" s="309" t="s">
        <v>23</v>
      </c>
      <c r="D29" s="313" t="s">
        <v>11</v>
      </c>
      <c r="E29" s="305" t="s">
        <v>209</v>
      </c>
      <c r="F29" s="305">
        <v>0.75561623387192112</v>
      </c>
      <c r="G29" s="306">
        <v>-0.12169872014504307</v>
      </c>
    </row>
    <row r="30" spans="1:7" ht="17.25" x14ac:dyDescent="0.25">
      <c r="A30" s="293" t="s">
        <v>224</v>
      </c>
      <c r="B30" s="293" t="s">
        <v>248</v>
      </c>
      <c r="C30" s="309" t="s">
        <v>23</v>
      </c>
      <c r="D30" s="313" t="s">
        <v>11</v>
      </c>
      <c r="E30" s="305" t="s">
        <v>209</v>
      </c>
      <c r="F30" s="305">
        <v>2.0899702971078371</v>
      </c>
      <c r="G30" s="306">
        <v>0.32014011391304958</v>
      </c>
    </row>
    <row r="31" spans="1:7" ht="17.25" x14ac:dyDescent="0.25">
      <c r="A31" s="293" t="s">
        <v>224</v>
      </c>
      <c r="B31" s="293" t="s">
        <v>248</v>
      </c>
      <c r="C31" s="309" t="s">
        <v>23</v>
      </c>
      <c r="D31" s="313" t="s">
        <v>11</v>
      </c>
      <c r="E31" s="305" t="s">
        <v>209</v>
      </c>
      <c r="F31" s="305">
        <v>0.63322580713143994</v>
      </c>
      <c r="G31" s="306">
        <v>-0.19844139376801079</v>
      </c>
    </row>
    <row r="32" spans="1:7" ht="17.25" x14ac:dyDescent="0.25">
      <c r="A32" s="293" t="s">
        <v>224</v>
      </c>
      <c r="B32" s="293" t="s">
        <v>248</v>
      </c>
      <c r="C32" s="309" t="s">
        <v>23</v>
      </c>
      <c r="D32" s="313" t="s">
        <v>11</v>
      </c>
      <c r="E32" s="305" t="s">
        <v>210</v>
      </c>
      <c r="F32" s="305">
        <v>9.2881035602745463</v>
      </c>
      <c r="G32" s="306">
        <v>0.96792704904372207</v>
      </c>
    </row>
    <row r="33" spans="1:7" ht="17.25" x14ac:dyDescent="0.25">
      <c r="A33" s="293" t="s">
        <v>224</v>
      </c>
      <c r="B33" s="293" t="s">
        <v>248</v>
      </c>
      <c r="C33" s="309" t="s">
        <v>23</v>
      </c>
      <c r="D33" s="313" t="s">
        <v>11</v>
      </c>
      <c r="E33" s="305" t="s">
        <v>210</v>
      </c>
      <c r="F33" s="305">
        <v>0.23473081367476403</v>
      </c>
      <c r="G33" s="306">
        <v>-0.62942989578478414</v>
      </c>
    </row>
    <row r="34" spans="1:7" ht="17.25" x14ac:dyDescent="0.25">
      <c r="A34" s="293" t="s">
        <v>224</v>
      </c>
      <c r="B34" s="293" t="s">
        <v>248</v>
      </c>
      <c r="C34" s="309" t="s">
        <v>23</v>
      </c>
      <c r="D34" s="313" t="s">
        <v>11</v>
      </c>
      <c r="E34" s="305" t="s">
        <v>210</v>
      </c>
      <c r="F34" s="305">
        <v>0.4586726523249896</v>
      </c>
      <c r="G34" s="306">
        <v>-0.33849715325893837</v>
      </c>
    </row>
    <row r="35" spans="1:7" ht="17.25" x14ac:dyDescent="0.25">
      <c r="A35" s="293" t="s">
        <v>224</v>
      </c>
      <c r="B35" s="293" t="s">
        <v>248</v>
      </c>
      <c r="C35" s="309" t="s">
        <v>23</v>
      </c>
      <c r="D35" s="313" t="s">
        <v>11</v>
      </c>
      <c r="E35" s="305" t="s">
        <v>211</v>
      </c>
      <c r="F35" s="305">
        <v>0.54755721739184382</v>
      </c>
      <c r="G35" s="306">
        <v>-0.26157049219709722</v>
      </c>
    </row>
    <row r="36" spans="1:7" ht="17.25" x14ac:dyDescent="0.25">
      <c r="A36" s="293" t="s">
        <v>224</v>
      </c>
      <c r="B36" s="293" t="s">
        <v>248</v>
      </c>
      <c r="C36" s="309" t="s">
        <v>23</v>
      </c>
      <c r="D36" s="313" t="s">
        <v>11</v>
      </c>
      <c r="E36" s="305" t="s">
        <v>211</v>
      </c>
      <c r="F36" s="305">
        <v>3.3821523930892416</v>
      </c>
      <c r="G36" s="306">
        <v>0.52919317215192618</v>
      </c>
    </row>
    <row r="37" spans="1:7" ht="17.25" x14ac:dyDescent="0.25">
      <c r="A37" s="293" t="s">
        <v>224</v>
      </c>
      <c r="B37" s="293" t="s">
        <v>248</v>
      </c>
      <c r="C37" s="309" t="s">
        <v>23</v>
      </c>
      <c r="D37" s="313" t="s">
        <v>11</v>
      </c>
      <c r="E37" s="305" t="s">
        <v>211</v>
      </c>
      <c r="F37" s="305">
        <v>0.53997955923374819</v>
      </c>
      <c r="G37" s="306">
        <v>-0.26762267995482952</v>
      </c>
    </row>
    <row r="38" spans="1:7" ht="17.25" x14ac:dyDescent="0.25">
      <c r="A38" s="293" t="s">
        <v>224</v>
      </c>
      <c r="B38" s="293" t="s">
        <v>248</v>
      </c>
      <c r="C38" s="310" t="s">
        <v>10</v>
      </c>
      <c r="D38" s="313" t="s">
        <v>11</v>
      </c>
      <c r="E38" s="305" t="s">
        <v>209</v>
      </c>
      <c r="F38" s="305">
        <v>5.7624966371594155</v>
      </c>
      <c r="G38" s="306">
        <v>0.76061068495500861</v>
      </c>
    </row>
    <row r="39" spans="1:7" ht="17.25" x14ac:dyDescent="0.25">
      <c r="A39" s="293" t="s">
        <v>224</v>
      </c>
      <c r="B39" s="293" t="s">
        <v>248</v>
      </c>
      <c r="C39" s="310" t="s">
        <v>10</v>
      </c>
      <c r="D39" s="313" t="s">
        <v>11</v>
      </c>
      <c r="E39" s="305" t="s">
        <v>209</v>
      </c>
      <c r="F39" s="305">
        <v>0.24589612950896822</v>
      </c>
      <c r="G39" s="306">
        <v>-0.60924830715443667</v>
      </c>
    </row>
    <row r="40" spans="1:7" ht="17.25" x14ac:dyDescent="0.25">
      <c r="A40" s="293" t="s">
        <v>224</v>
      </c>
      <c r="B40" s="293" t="s">
        <v>248</v>
      </c>
      <c r="C40" s="310" t="s">
        <v>10</v>
      </c>
      <c r="D40" s="313" t="s">
        <v>11</v>
      </c>
      <c r="E40" s="305" t="s">
        <v>209</v>
      </c>
      <c r="F40" s="305">
        <v>1.6355899253162387</v>
      </c>
      <c r="G40" s="306">
        <v>0.21367442678261639</v>
      </c>
    </row>
    <row r="41" spans="1:7" ht="17.25" x14ac:dyDescent="0.25">
      <c r="A41" s="293" t="s">
        <v>224</v>
      </c>
      <c r="B41" s="293" t="s">
        <v>248</v>
      </c>
      <c r="C41" s="310" t="s">
        <v>10</v>
      </c>
      <c r="D41" s="313" t="s">
        <v>11</v>
      </c>
      <c r="E41" s="305" t="s">
        <v>210</v>
      </c>
      <c r="F41" s="305">
        <v>1.0226823560743508</v>
      </c>
      <c r="G41" s="306">
        <v>9.7407633058934073E-3</v>
      </c>
    </row>
    <row r="42" spans="1:7" ht="17.25" x14ac:dyDescent="0.25">
      <c r="A42" s="293" t="s">
        <v>224</v>
      </c>
      <c r="B42" s="293" t="s">
        <v>248</v>
      </c>
      <c r="C42" s="310" t="s">
        <v>10</v>
      </c>
      <c r="D42" s="313" t="s">
        <v>11</v>
      </c>
      <c r="E42" s="305" t="s">
        <v>210</v>
      </c>
      <c r="F42" s="305">
        <v>0.91024457321983276</v>
      </c>
      <c r="G42" s="306">
        <v>-4.0841901603254176E-2</v>
      </c>
    </row>
    <row r="43" spans="1:7" ht="17.25" x14ac:dyDescent="0.25">
      <c r="A43" s="293" t="s">
        <v>224</v>
      </c>
      <c r="B43" s="293" t="s">
        <v>248</v>
      </c>
      <c r="C43" s="310" t="s">
        <v>10</v>
      </c>
      <c r="D43" s="313" t="s">
        <v>11</v>
      </c>
      <c r="E43" s="305" t="s">
        <v>210</v>
      </c>
      <c r="F43" s="305">
        <v>1.3571017191874007E-2</v>
      </c>
      <c r="G43" s="306">
        <v>-1.8673875993364457</v>
      </c>
    </row>
    <row r="44" spans="1:7" ht="17.25" x14ac:dyDescent="0.25">
      <c r="A44" s="293" t="s">
        <v>224</v>
      </c>
      <c r="B44" s="293" t="s">
        <v>248</v>
      </c>
      <c r="C44" s="310" t="s">
        <v>10</v>
      </c>
      <c r="D44" s="313" t="s">
        <v>11</v>
      </c>
      <c r="E44" s="305" t="s">
        <v>211</v>
      </c>
      <c r="F44" s="305">
        <v>4.8062070658707459</v>
      </c>
      <c r="G44" s="306">
        <v>0.68180247758478774</v>
      </c>
    </row>
    <row r="45" spans="1:7" ht="17.25" x14ac:dyDescent="0.25">
      <c r="A45" s="293" t="s">
        <v>224</v>
      </c>
      <c r="B45" s="293" t="s">
        <v>248</v>
      </c>
      <c r="C45" s="310" t="s">
        <v>10</v>
      </c>
      <c r="D45" s="313" t="s">
        <v>11</v>
      </c>
      <c r="E45" s="305" t="s">
        <v>211</v>
      </c>
      <c r="F45" s="305">
        <v>1.7727094047230838</v>
      </c>
      <c r="G45" s="306">
        <v>0.24863754876008629</v>
      </c>
    </row>
    <row r="46" spans="1:7" ht="17.25" x14ac:dyDescent="0.25">
      <c r="A46" s="293" t="s">
        <v>224</v>
      </c>
      <c r="B46" s="293" t="s">
        <v>248</v>
      </c>
      <c r="C46" s="310" t="s">
        <v>10</v>
      </c>
      <c r="D46" s="313" t="s">
        <v>11</v>
      </c>
      <c r="E46" s="305" t="s">
        <v>211</v>
      </c>
      <c r="F46" s="305">
        <v>0.12412747572392926</v>
      </c>
      <c r="G46" s="306">
        <v>-0.90613207640174864</v>
      </c>
    </row>
    <row r="47" spans="1:7" ht="17.25" x14ac:dyDescent="0.25">
      <c r="A47" s="293" t="s">
        <v>224</v>
      </c>
      <c r="B47" s="293" t="s">
        <v>248</v>
      </c>
      <c r="C47" s="311" t="s">
        <v>33</v>
      </c>
      <c r="D47" s="313" t="s">
        <v>11</v>
      </c>
      <c r="E47" s="305" t="s">
        <v>209</v>
      </c>
      <c r="F47" s="305">
        <v>9.5819986162595949</v>
      </c>
      <c r="G47" s="306">
        <v>0.98145610380548431</v>
      </c>
    </row>
    <row r="48" spans="1:7" ht="17.25" x14ac:dyDescent="0.25">
      <c r="A48" s="293" t="s">
        <v>224</v>
      </c>
      <c r="B48" s="293" t="s">
        <v>248</v>
      </c>
      <c r="C48" s="311" t="s">
        <v>33</v>
      </c>
      <c r="D48" s="313" t="s">
        <v>11</v>
      </c>
      <c r="E48" s="305" t="s">
        <v>209</v>
      </c>
      <c r="F48" s="305">
        <v>29.486584105553252</v>
      </c>
      <c r="G48" s="306">
        <v>1.4696244643105478</v>
      </c>
    </row>
    <row r="49" spans="1:7" ht="17.25" x14ac:dyDescent="0.25">
      <c r="A49" s="293" t="s">
        <v>224</v>
      </c>
      <c r="B49" s="293" t="s">
        <v>248</v>
      </c>
      <c r="C49" s="311" t="s">
        <v>33</v>
      </c>
      <c r="D49" s="313" t="s">
        <v>11</v>
      </c>
      <c r="E49" s="305" t="s">
        <v>209</v>
      </c>
      <c r="F49" s="305">
        <v>0.16419792793646434</v>
      </c>
      <c r="G49" s="306">
        <v>-0.78463232767600333</v>
      </c>
    </row>
    <row r="50" spans="1:7" ht="17.25" x14ac:dyDescent="0.25">
      <c r="A50" s="293" t="s">
        <v>224</v>
      </c>
      <c r="B50" s="293" t="s">
        <v>248</v>
      </c>
      <c r="C50" s="311" t="s">
        <v>33</v>
      </c>
      <c r="D50" s="313" t="s">
        <v>11</v>
      </c>
      <c r="E50" s="305" t="s">
        <v>210</v>
      </c>
      <c r="F50" s="305">
        <v>3.1501052096940958</v>
      </c>
      <c r="G50" s="306">
        <v>0.49832505894088669</v>
      </c>
    </row>
    <row r="51" spans="1:7" ht="17.25" x14ac:dyDescent="0.25">
      <c r="A51" s="293" t="s">
        <v>224</v>
      </c>
      <c r="B51" s="293" t="s">
        <v>248</v>
      </c>
      <c r="C51" s="311" t="s">
        <v>33</v>
      </c>
      <c r="D51" s="313" t="s">
        <v>11</v>
      </c>
      <c r="E51" s="305" t="s">
        <v>210</v>
      </c>
      <c r="F51" s="305">
        <v>1.6575578551639971</v>
      </c>
      <c r="G51" s="306">
        <v>0.21946869589428777</v>
      </c>
    </row>
    <row r="52" spans="1:7" ht="17.25" x14ac:dyDescent="0.25">
      <c r="A52" s="293" t="s">
        <v>224</v>
      </c>
      <c r="B52" s="293" t="s">
        <v>248</v>
      </c>
      <c r="C52" s="311" t="s">
        <v>33</v>
      </c>
      <c r="D52" s="313" t="s">
        <v>11</v>
      </c>
      <c r="E52" s="305" t="s">
        <v>210</v>
      </c>
      <c r="F52" s="305">
        <v>7.8636998569775702</v>
      </c>
      <c r="G52" s="306">
        <v>0.89562692891537998</v>
      </c>
    </row>
    <row r="53" spans="1:7" ht="17.25" x14ac:dyDescent="0.25">
      <c r="A53" s="293" t="s">
        <v>224</v>
      </c>
      <c r="B53" s="293" t="s">
        <v>248</v>
      </c>
      <c r="C53" s="311" t="s">
        <v>33</v>
      </c>
      <c r="D53" s="313" t="s">
        <v>11</v>
      </c>
      <c r="E53" s="305" t="s">
        <v>211</v>
      </c>
      <c r="F53" s="305">
        <v>7.837399842328165</v>
      </c>
      <c r="G53" s="306">
        <v>0.89417200382893081</v>
      </c>
    </row>
    <row r="54" spans="1:7" ht="17.25" x14ac:dyDescent="0.25">
      <c r="A54" s="293" t="s">
        <v>224</v>
      </c>
      <c r="B54" s="293" t="s">
        <v>248</v>
      </c>
      <c r="C54" s="311" t="s">
        <v>33</v>
      </c>
      <c r="D54" s="313" t="s">
        <v>11</v>
      </c>
      <c r="E54" s="305" t="s">
        <v>211</v>
      </c>
      <c r="F54" s="305">
        <v>0.35386871770321915</v>
      </c>
      <c r="G54" s="306">
        <v>-0.45115782766864648</v>
      </c>
    </row>
    <row r="55" spans="1:7" ht="17.25" x14ac:dyDescent="0.25">
      <c r="A55" s="293" t="s">
        <v>224</v>
      </c>
      <c r="B55" s="293" t="s">
        <v>248</v>
      </c>
      <c r="C55" s="311" t="s">
        <v>33</v>
      </c>
      <c r="D55" s="313" t="s">
        <v>11</v>
      </c>
      <c r="E55" s="305" t="s">
        <v>211</v>
      </c>
      <c r="F55" s="305">
        <v>0.49772508212959321</v>
      </c>
      <c r="G55" s="306">
        <v>-0.30301047306750406</v>
      </c>
    </row>
    <row r="56" spans="1:7" ht="17.25" x14ac:dyDescent="0.25">
      <c r="A56" s="293" t="s">
        <v>224</v>
      </c>
      <c r="B56" s="293" t="s">
        <v>249</v>
      </c>
      <c r="C56" s="309" t="s">
        <v>23</v>
      </c>
      <c r="D56" s="312" t="s">
        <v>43</v>
      </c>
      <c r="E56" s="305" t="s">
        <v>209</v>
      </c>
      <c r="F56" s="306">
        <v>0.53538556438945561</v>
      </c>
      <c r="G56" s="293">
        <v>-0.271333342881102</v>
      </c>
    </row>
    <row r="57" spans="1:7" ht="17.25" x14ac:dyDescent="0.25">
      <c r="A57" s="293" t="s">
        <v>224</v>
      </c>
      <c r="B57" s="293" t="s">
        <v>249</v>
      </c>
      <c r="C57" s="309" t="s">
        <v>23</v>
      </c>
      <c r="D57" s="312" t="s">
        <v>43</v>
      </c>
      <c r="E57" s="305" t="s">
        <v>209</v>
      </c>
      <c r="F57" s="306">
        <v>8.7982948156518484E-2</v>
      </c>
      <c r="G57" s="293">
        <v>-1.0556014896579049</v>
      </c>
    </row>
    <row r="58" spans="1:7" ht="17.25" x14ac:dyDescent="0.25">
      <c r="A58" s="293" t="s">
        <v>224</v>
      </c>
      <c r="B58" s="293" t="s">
        <v>249</v>
      </c>
      <c r="C58" s="309" t="s">
        <v>23</v>
      </c>
      <c r="D58" s="312" t="s">
        <v>43</v>
      </c>
      <c r="E58" s="305" t="s">
        <v>209</v>
      </c>
      <c r="F58" s="306">
        <v>21.229258853759433</v>
      </c>
      <c r="G58" s="293">
        <v>1.3269348325390047</v>
      </c>
    </row>
    <row r="59" spans="1:7" ht="17.25" x14ac:dyDescent="0.25">
      <c r="A59" s="293" t="s">
        <v>224</v>
      </c>
      <c r="B59" s="293" t="s">
        <v>249</v>
      </c>
      <c r="C59" s="309" t="s">
        <v>23</v>
      </c>
      <c r="D59" s="312" t="s">
        <v>43</v>
      </c>
      <c r="E59" s="305" t="s">
        <v>210</v>
      </c>
      <c r="F59" s="306">
        <v>0.26711560008173246</v>
      </c>
      <c r="G59" s="293">
        <v>-0.57330074757738336</v>
      </c>
    </row>
    <row r="60" spans="1:7" ht="17.25" x14ac:dyDescent="0.25">
      <c r="A60" s="293" t="s">
        <v>224</v>
      </c>
      <c r="B60" s="293" t="s">
        <v>249</v>
      </c>
      <c r="C60" s="309" t="s">
        <v>23</v>
      </c>
      <c r="D60" s="312" t="s">
        <v>43</v>
      </c>
      <c r="E60" s="305" t="s">
        <v>210</v>
      </c>
      <c r="F60" s="306">
        <v>9.8247372245967482E-2</v>
      </c>
      <c r="G60" s="293">
        <v>-1.0076790565692042</v>
      </c>
    </row>
    <row r="61" spans="1:7" ht="17.25" x14ac:dyDescent="0.25">
      <c r="A61" s="293" t="s">
        <v>224</v>
      </c>
      <c r="B61" s="293" t="s">
        <v>249</v>
      </c>
      <c r="C61" s="309" t="s">
        <v>23</v>
      </c>
      <c r="D61" s="312" t="s">
        <v>43</v>
      </c>
      <c r="E61" s="305" t="s">
        <v>210</v>
      </c>
      <c r="F61" s="306">
        <v>38.104810322717768</v>
      </c>
      <c r="G61" s="293">
        <v>1.5809798041465892</v>
      </c>
    </row>
    <row r="62" spans="1:7" ht="17.25" x14ac:dyDescent="0.25">
      <c r="A62" s="293" t="s">
        <v>224</v>
      </c>
      <c r="B62" s="293" t="s">
        <v>249</v>
      </c>
      <c r="C62" s="309" t="s">
        <v>23</v>
      </c>
      <c r="D62" s="312" t="s">
        <v>43</v>
      </c>
      <c r="E62" s="305" t="s">
        <v>211</v>
      </c>
      <c r="F62" s="306">
        <v>3.0177272822642549</v>
      </c>
      <c r="G62" s="293">
        <v>0.47967998919722343</v>
      </c>
    </row>
    <row r="63" spans="1:7" ht="17.25" x14ac:dyDescent="0.25">
      <c r="A63" s="293" t="s">
        <v>224</v>
      </c>
      <c r="B63" s="293" t="s">
        <v>249</v>
      </c>
      <c r="C63" s="309" t="s">
        <v>23</v>
      </c>
      <c r="D63" s="312" t="s">
        <v>43</v>
      </c>
      <c r="E63" s="305" t="s">
        <v>211</v>
      </c>
      <c r="F63" s="306">
        <v>2.6256304431651844E-2</v>
      </c>
      <c r="G63" s="293">
        <v>-1.5807664007859534</v>
      </c>
    </row>
    <row r="64" spans="1:7" ht="17.25" x14ac:dyDescent="0.25">
      <c r="A64" s="293" t="s">
        <v>224</v>
      </c>
      <c r="B64" s="293" t="s">
        <v>249</v>
      </c>
      <c r="C64" s="309" t="s">
        <v>23</v>
      </c>
      <c r="D64" s="312" t="s">
        <v>43</v>
      </c>
      <c r="E64" s="305" t="s">
        <v>211</v>
      </c>
      <c r="F64" s="306">
        <v>12.620786254396922</v>
      </c>
      <c r="G64" s="293">
        <v>1.1010864115887296</v>
      </c>
    </row>
    <row r="65" spans="1:7" ht="17.25" x14ac:dyDescent="0.25">
      <c r="A65" s="293" t="s">
        <v>224</v>
      </c>
      <c r="B65" s="293" t="s">
        <v>249</v>
      </c>
      <c r="C65" s="314" t="s">
        <v>10</v>
      </c>
      <c r="D65" s="312" t="s">
        <v>43</v>
      </c>
      <c r="E65" s="305" t="s">
        <v>209</v>
      </c>
      <c r="F65" s="306">
        <v>2828.1789077303156</v>
      </c>
      <c r="G65" s="293">
        <v>3.4515068790224661</v>
      </c>
    </row>
    <row r="66" spans="1:7" ht="17.25" x14ac:dyDescent="0.25">
      <c r="A66" s="293" t="s">
        <v>224</v>
      </c>
      <c r="B66" s="293" t="s">
        <v>249</v>
      </c>
      <c r="C66" s="314" t="s">
        <v>10</v>
      </c>
      <c r="D66" s="312" t="s">
        <v>43</v>
      </c>
      <c r="E66" s="305" t="s">
        <v>209</v>
      </c>
      <c r="F66" s="306">
        <v>182.80143300588495</v>
      </c>
      <c r="G66" s="293">
        <v>2.2619795959060678</v>
      </c>
    </row>
    <row r="67" spans="1:7" ht="17.25" x14ac:dyDescent="0.25">
      <c r="A67" s="293" t="s">
        <v>224</v>
      </c>
      <c r="B67" s="293" t="s">
        <v>249</v>
      </c>
      <c r="C67" s="314" t="s">
        <v>10</v>
      </c>
      <c r="D67" s="312" t="s">
        <v>43</v>
      </c>
      <c r="E67" s="305" t="s">
        <v>209</v>
      </c>
      <c r="F67" s="306">
        <v>370.11172858112201</v>
      </c>
      <c r="G67" s="293">
        <v>2.5683328478007419</v>
      </c>
    </row>
    <row r="68" spans="1:7" ht="17.25" x14ac:dyDescent="0.25">
      <c r="A68" s="293" t="s">
        <v>224</v>
      </c>
      <c r="B68" s="293" t="s">
        <v>249</v>
      </c>
      <c r="C68" s="314" t="s">
        <v>10</v>
      </c>
      <c r="D68" s="312" t="s">
        <v>43</v>
      </c>
      <c r="E68" s="305" t="s">
        <v>210</v>
      </c>
      <c r="F68" s="306">
        <v>37.176381780639694</v>
      </c>
      <c r="G68" s="293">
        <v>1.5702671194550424</v>
      </c>
    </row>
    <row r="69" spans="1:7" ht="17.25" x14ac:dyDescent="0.25">
      <c r="A69" s="293" t="s">
        <v>224</v>
      </c>
      <c r="B69" s="293" t="s">
        <v>249</v>
      </c>
      <c r="C69" s="314" t="s">
        <v>10</v>
      </c>
      <c r="D69" s="312" t="s">
        <v>43</v>
      </c>
      <c r="E69" s="305" t="s">
        <v>210</v>
      </c>
      <c r="F69" s="306">
        <v>5.0359721950838603</v>
      </c>
      <c r="G69" s="293">
        <v>0.70208332358932279</v>
      </c>
    </row>
    <row r="70" spans="1:7" ht="17.25" x14ac:dyDescent="0.25">
      <c r="A70" s="293" t="s">
        <v>224</v>
      </c>
      <c r="B70" s="293" t="s">
        <v>249</v>
      </c>
      <c r="C70" s="314" t="s">
        <v>10</v>
      </c>
      <c r="D70" s="312" t="s">
        <v>43</v>
      </c>
      <c r="E70" s="305" t="s">
        <v>210</v>
      </c>
      <c r="F70" s="306">
        <v>0.1124672104096414</v>
      </c>
      <c r="G70" s="293">
        <v>-0.94897407678662726</v>
      </c>
    </row>
    <row r="71" spans="1:7" ht="17.25" x14ac:dyDescent="0.25">
      <c r="A71" s="293" t="s">
        <v>224</v>
      </c>
      <c r="B71" s="293" t="s">
        <v>249</v>
      </c>
      <c r="C71" s="314" t="s">
        <v>10</v>
      </c>
      <c r="D71" s="312" t="s">
        <v>43</v>
      </c>
      <c r="E71" s="305" t="s">
        <v>211</v>
      </c>
      <c r="F71" s="306">
        <v>116.13082118695002</v>
      </c>
      <c r="G71" s="293">
        <v>2.0649474970426653</v>
      </c>
    </row>
    <row r="72" spans="1:7" ht="17.25" x14ac:dyDescent="0.25">
      <c r="A72" s="293" t="s">
        <v>224</v>
      </c>
      <c r="B72" s="293" t="s">
        <v>249</v>
      </c>
      <c r="C72" s="314" t="s">
        <v>10</v>
      </c>
      <c r="D72" s="312" t="s">
        <v>43</v>
      </c>
      <c r="E72" s="305" t="s">
        <v>211</v>
      </c>
      <c r="F72" s="306">
        <v>6.9725424337337563</v>
      </c>
      <c r="G72" s="293">
        <v>0.84339116599012609</v>
      </c>
    </row>
    <row r="73" spans="1:7" ht="17.25" x14ac:dyDescent="0.25">
      <c r="A73" s="293" t="s">
        <v>224</v>
      </c>
      <c r="B73" s="293" t="s">
        <v>249</v>
      </c>
      <c r="C73" s="314" t="s">
        <v>10</v>
      </c>
      <c r="D73" s="312" t="s">
        <v>43</v>
      </c>
      <c r="E73" s="305" t="s">
        <v>211</v>
      </c>
      <c r="F73" s="306">
        <v>0.20960939395028483</v>
      </c>
      <c r="G73" s="293">
        <v>-0.67858925771240042</v>
      </c>
    </row>
    <row r="74" spans="1:7" ht="17.25" x14ac:dyDescent="0.25">
      <c r="A74" s="293" t="s">
        <v>224</v>
      </c>
      <c r="B74" s="293" t="s">
        <v>249</v>
      </c>
      <c r="C74" s="311" t="s">
        <v>33</v>
      </c>
      <c r="D74" s="312" t="s">
        <v>43</v>
      </c>
      <c r="E74" s="305" t="s">
        <v>209</v>
      </c>
      <c r="F74" s="306">
        <v>102.35089550530854</v>
      </c>
      <c r="G74" s="293">
        <v>2.0100916468159418</v>
      </c>
    </row>
    <row r="75" spans="1:7" ht="17.25" x14ac:dyDescent="0.25">
      <c r="A75" s="293" t="s">
        <v>224</v>
      </c>
      <c r="B75" s="293" t="s">
        <v>249</v>
      </c>
      <c r="C75" s="311" t="s">
        <v>33</v>
      </c>
      <c r="D75" s="312" t="s">
        <v>43</v>
      </c>
      <c r="E75" s="305" t="s">
        <v>209</v>
      </c>
      <c r="F75" s="306">
        <v>69.139480201649462</v>
      </c>
      <c r="G75" s="293">
        <v>1.8397261101441384</v>
      </c>
    </row>
    <row r="76" spans="1:7" ht="17.25" x14ac:dyDescent="0.25">
      <c r="A76" s="293" t="s">
        <v>224</v>
      </c>
      <c r="B76" s="293" t="s">
        <v>249</v>
      </c>
      <c r="C76" s="311" t="s">
        <v>33</v>
      </c>
      <c r="D76" s="312" t="s">
        <v>43</v>
      </c>
      <c r="E76" s="305" t="s">
        <v>209</v>
      </c>
      <c r="F76" s="306">
        <v>917.22569214468251</v>
      </c>
      <c r="G76" s="293">
        <v>2.9624762111259249</v>
      </c>
    </row>
    <row r="77" spans="1:7" ht="17.25" x14ac:dyDescent="0.25">
      <c r="A77" s="293" t="s">
        <v>224</v>
      </c>
      <c r="B77" s="293" t="s">
        <v>249</v>
      </c>
      <c r="C77" s="311" t="s">
        <v>33</v>
      </c>
      <c r="D77" s="312" t="s">
        <v>43</v>
      </c>
      <c r="E77" s="305" t="s">
        <v>210</v>
      </c>
      <c r="F77" s="306">
        <v>12.871859877721421</v>
      </c>
      <c r="G77" s="293">
        <v>1.1096413034135644</v>
      </c>
    </row>
    <row r="78" spans="1:7" ht="17.25" x14ac:dyDescent="0.25">
      <c r="A78" s="293" t="s">
        <v>224</v>
      </c>
      <c r="B78" s="293" t="s">
        <v>249</v>
      </c>
      <c r="C78" s="311" t="s">
        <v>33</v>
      </c>
      <c r="D78" s="312" t="s">
        <v>43</v>
      </c>
      <c r="E78" s="305" t="s">
        <v>210</v>
      </c>
      <c r="F78" s="306">
        <v>22.858602531369012</v>
      </c>
      <c r="G78" s="293">
        <v>1.3590496761263404</v>
      </c>
    </row>
    <row r="79" spans="1:7" ht="17.25" x14ac:dyDescent="0.25">
      <c r="A79" s="293" t="s">
        <v>224</v>
      </c>
      <c r="B79" s="293" t="s">
        <v>249</v>
      </c>
      <c r="C79" s="311" t="s">
        <v>33</v>
      </c>
      <c r="D79" s="312" t="s">
        <v>43</v>
      </c>
      <c r="E79" s="305" t="s">
        <v>210</v>
      </c>
      <c r="F79" s="306">
        <v>44.459414834140389</v>
      </c>
      <c r="G79" s="293">
        <v>1.6479637423041267</v>
      </c>
    </row>
    <row r="80" spans="1:7" ht="17.25" x14ac:dyDescent="0.25">
      <c r="A80" s="293" t="s">
        <v>224</v>
      </c>
      <c r="B80" s="293" t="s">
        <v>249</v>
      </c>
      <c r="C80" s="311" t="s">
        <v>33</v>
      </c>
      <c r="D80" s="312" t="s">
        <v>43</v>
      </c>
      <c r="E80" s="305" t="s">
        <v>211</v>
      </c>
      <c r="F80" s="306">
        <v>11.184588168068469</v>
      </c>
      <c r="G80" s="293">
        <v>1.0486199974064381</v>
      </c>
    </row>
    <row r="81" spans="1:7" ht="17.25" x14ac:dyDescent="0.25">
      <c r="A81" s="293" t="s">
        <v>224</v>
      </c>
      <c r="B81" s="293" t="s">
        <v>249</v>
      </c>
      <c r="C81" s="311" t="s">
        <v>33</v>
      </c>
      <c r="D81" s="312" t="s">
        <v>43</v>
      </c>
      <c r="E81" s="305" t="s">
        <v>211</v>
      </c>
      <c r="F81" s="306">
        <v>25.068075332974161</v>
      </c>
      <c r="G81" s="293">
        <v>1.3991209911438511</v>
      </c>
    </row>
    <row r="82" spans="1:7" ht="17.25" x14ac:dyDescent="0.25">
      <c r="A82" s="293" t="s">
        <v>224</v>
      </c>
      <c r="B82" s="293" t="s">
        <v>249</v>
      </c>
      <c r="C82" s="311" t="s">
        <v>33</v>
      </c>
      <c r="D82" s="312" t="s">
        <v>43</v>
      </c>
      <c r="E82" s="305" t="s">
        <v>211</v>
      </c>
      <c r="F82" s="306">
        <v>8.4148140424403763</v>
      </c>
      <c r="G82" s="293">
        <v>0.92504452301720674</v>
      </c>
    </row>
    <row r="83" spans="1:7" ht="17.25" x14ac:dyDescent="0.25">
      <c r="A83" s="293" t="s">
        <v>224</v>
      </c>
      <c r="B83" s="293" t="s">
        <v>249</v>
      </c>
      <c r="C83" s="309" t="s">
        <v>23</v>
      </c>
      <c r="D83" s="313" t="s">
        <v>11</v>
      </c>
      <c r="E83" s="305" t="s">
        <v>209</v>
      </c>
      <c r="F83" s="306">
        <v>0.29918090128772556</v>
      </c>
      <c r="G83" s="293">
        <v>-0.52406613383595901</v>
      </c>
    </row>
    <row r="84" spans="1:7" ht="17.25" x14ac:dyDescent="0.25">
      <c r="A84" s="293" t="s">
        <v>224</v>
      </c>
      <c r="B84" s="293" t="s">
        <v>249</v>
      </c>
      <c r="C84" s="309" t="s">
        <v>23</v>
      </c>
      <c r="D84" s="313" t="s">
        <v>11</v>
      </c>
      <c r="E84" s="305" t="s">
        <v>209</v>
      </c>
      <c r="F84" s="306">
        <v>0.64072285717902233</v>
      </c>
      <c r="G84" s="293">
        <v>-0.19332978268887061</v>
      </c>
    </row>
    <row r="85" spans="1:7" ht="17.25" x14ac:dyDescent="0.25">
      <c r="A85" s="293" t="s">
        <v>224</v>
      </c>
      <c r="B85" s="293" t="s">
        <v>249</v>
      </c>
      <c r="C85" s="309" t="s">
        <v>23</v>
      </c>
      <c r="D85" s="313" t="s">
        <v>11</v>
      </c>
      <c r="E85" s="305" t="s">
        <v>209</v>
      </c>
      <c r="F85" s="306">
        <v>5.2167006525616024</v>
      </c>
      <c r="G85" s="293">
        <v>0.71739591652482804</v>
      </c>
    </row>
    <row r="86" spans="1:7" ht="17.25" x14ac:dyDescent="0.25">
      <c r="A86" s="293" t="s">
        <v>224</v>
      </c>
      <c r="B86" s="293" t="s">
        <v>249</v>
      </c>
      <c r="C86" s="309" t="s">
        <v>23</v>
      </c>
      <c r="D86" s="313" t="s">
        <v>11</v>
      </c>
      <c r="E86" s="305" t="s">
        <v>210</v>
      </c>
      <c r="F86" s="306">
        <v>8.905750377011115</v>
      </c>
      <c r="G86" s="293">
        <v>0.94967051794477209</v>
      </c>
    </row>
    <row r="87" spans="1:7" ht="17.25" x14ac:dyDescent="0.25">
      <c r="A87" s="293" t="s">
        <v>224</v>
      </c>
      <c r="B87" s="293" t="s">
        <v>249</v>
      </c>
      <c r="C87" s="309" t="s">
        <v>23</v>
      </c>
      <c r="D87" s="313" t="s">
        <v>11</v>
      </c>
      <c r="E87" s="305" t="s">
        <v>210</v>
      </c>
      <c r="F87" s="306">
        <v>0.29755269378815008</v>
      </c>
      <c r="G87" s="293">
        <v>-0.52643611364978882</v>
      </c>
    </row>
    <row r="88" spans="1:7" ht="17.25" x14ac:dyDescent="0.25">
      <c r="A88" s="293" t="s">
        <v>224</v>
      </c>
      <c r="B88" s="293" t="s">
        <v>249</v>
      </c>
      <c r="C88" s="309" t="s">
        <v>23</v>
      </c>
      <c r="D88" s="313" t="s">
        <v>11</v>
      </c>
      <c r="E88" s="305" t="s">
        <v>210</v>
      </c>
      <c r="F88" s="306">
        <v>0.37736845666982216</v>
      </c>
      <c r="G88" s="293">
        <v>-0.42323440429498371</v>
      </c>
    </row>
    <row r="89" spans="1:7" ht="17.25" x14ac:dyDescent="0.25">
      <c r="A89" s="293" t="s">
        <v>224</v>
      </c>
      <c r="B89" s="293" t="s">
        <v>249</v>
      </c>
      <c r="C89" s="309" t="s">
        <v>23</v>
      </c>
      <c r="D89" s="313" t="s">
        <v>11</v>
      </c>
      <c r="E89" s="305" t="s">
        <v>211</v>
      </c>
      <c r="F89" s="306">
        <v>0.55991744219820816</v>
      </c>
      <c r="G89" s="293">
        <v>-0.25187600342402633</v>
      </c>
    </row>
    <row r="90" spans="1:7" ht="17.25" x14ac:dyDescent="0.25">
      <c r="A90" s="293" t="s">
        <v>224</v>
      </c>
      <c r="B90" s="293" t="s">
        <v>249</v>
      </c>
      <c r="C90" s="309" t="s">
        <v>23</v>
      </c>
      <c r="D90" s="313" t="s">
        <v>11</v>
      </c>
      <c r="E90" s="305" t="s">
        <v>211</v>
      </c>
      <c r="F90" s="306">
        <v>0.71474184161048937</v>
      </c>
      <c r="G90" s="293">
        <v>-0.14585079317706293</v>
      </c>
    </row>
    <row r="91" spans="1:7" ht="17.25" x14ac:dyDescent="0.25">
      <c r="A91" s="293" t="s">
        <v>224</v>
      </c>
      <c r="B91" s="293" t="s">
        <v>249</v>
      </c>
      <c r="C91" s="309" t="s">
        <v>23</v>
      </c>
      <c r="D91" s="313" t="s">
        <v>11</v>
      </c>
      <c r="E91" s="305" t="s">
        <v>211</v>
      </c>
      <c r="F91" s="306">
        <v>2.4987729538864589</v>
      </c>
      <c r="G91" s="293">
        <v>0.39772679660108701</v>
      </c>
    </row>
    <row r="92" spans="1:7" ht="17.25" x14ac:dyDescent="0.25">
      <c r="A92" s="293" t="s">
        <v>224</v>
      </c>
      <c r="B92" s="293" t="s">
        <v>249</v>
      </c>
      <c r="C92" s="314" t="s">
        <v>10</v>
      </c>
      <c r="D92" s="313" t="s">
        <v>11</v>
      </c>
      <c r="E92" s="305" t="s">
        <v>209</v>
      </c>
      <c r="F92" s="306">
        <v>1.2194189862409475</v>
      </c>
      <c r="G92" s="293">
        <v>8.6152952663499607E-2</v>
      </c>
    </row>
    <row r="93" spans="1:7" ht="17.25" x14ac:dyDescent="0.25">
      <c r="A93" s="293" t="s">
        <v>224</v>
      </c>
      <c r="B93" s="293" t="s">
        <v>249</v>
      </c>
      <c r="C93" s="314" t="s">
        <v>10</v>
      </c>
      <c r="D93" s="313" t="s">
        <v>11</v>
      </c>
      <c r="E93" s="305" t="s">
        <v>209</v>
      </c>
      <c r="F93" s="306">
        <v>0.1997261648751481</v>
      </c>
      <c r="G93" s="293">
        <v>-0.69956503719965724</v>
      </c>
    </row>
    <row r="94" spans="1:7" ht="17.25" x14ac:dyDescent="0.25">
      <c r="A94" s="293" t="s">
        <v>224</v>
      </c>
      <c r="B94" s="293" t="s">
        <v>249</v>
      </c>
      <c r="C94" s="314" t="s">
        <v>10</v>
      </c>
      <c r="D94" s="313" t="s">
        <v>11</v>
      </c>
      <c r="E94" s="305" t="s">
        <v>209</v>
      </c>
      <c r="F94" s="306">
        <v>0.71431171833316798</v>
      </c>
      <c r="G94" s="293">
        <v>-0.14611222518598924</v>
      </c>
    </row>
    <row r="95" spans="1:7" ht="17.25" x14ac:dyDescent="0.25">
      <c r="A95" s="293" t="s">
        <v>224</v>
      </c>
      <c r="B95" s="293" t="s">
        <v>249</v>
      </c>
      <c r="C95" s="314" t="s">
        <v>10</v>
      </c>
      <c r="D95" s="313" t="s">
        <v>11</v>
      </c>
      <c r="E95" s="305" t="s">
        <v>210</v>
      </c>
      <c r="F95" s="306">
        <v>0.52709755101869737</v>
      </c>
      <c r="G95" s="293">
        <v>-0.27810900158344287</v>
      </c>
    </row>
    <row r="96" spans="1:7" ht="17.25" x14ac:dyDescent="0.25">
      <c r="A96" s="293" t="s">
        <v>224</v>
      </c>
      <c r="B96" s="293" t="s">
        <v>249</v>
      </c>
      <c r="C96" s="314" t="s">
        <v>10</v>
      </c>
      <c r="D96" s="313" t="s">
        <v>11</v>
      </c>
      <c r="E96" s="305" t="s">
        <v>210</v>
      </c>
      <c r="F96" s="306">
        <v>0.52438801282332093</v>
      </c>
      <c r="G96" s="293">
        <v>-0.28034724456430915</v>
      </c>
    </row>
    <row r="97" spans="1:7" ht="17.25" x14ac:dyDescent="0.25">
      <c r="A97" s="293" t="s">
        <v>224</v>
      </c>
      <c r="B97" s="293" t="s">
        <v>249</v>
      </c>
      <c r="C97" s="314" t="s">
        <v>10</v>
      </c>
      <c r="D97" s="313" t="s">
        <v>11</v>
      </c>
      <c r="E97" s="305" t="s">
        <v>210</v>
      </c>
      <c r="F97" s="306">
        <v>9.525850772749662E-4</v>
      </c>
      <c r="G97" s="293">
        <v>-3.0210962262129439</v>
      </c>
    </row>
    <row r="98" spans="1:7" ht="17.25" x14ac:dyDescent="0.25">
      <c r="A98" s="293" t="s">
        <v>224</v>
      </c>
      <c r="B98" s="293" t="s">
        <v>249</v>
      </c>
      <c r="C98" s="314" t="s">
        <v>10</v>
      </c>
      <c r="D98" s="313" t="s">
        <v>11</v>
      </c>
      <c r="E98" s="305" t="s">
        <v>211</v>
      </c>
      <c r="F98" s="306">
        <v>21.209763965468568</v>
      </c>
      <c r="G98" s="293">
        <v>1.326535835463053</v>
      </c>
    </row>
    <row r="99" spans="1:7" ht="17.25" x14ac:dyDescent="0.25">
      <c r="A99" s="293" t="s">
        <v>224</v>
      </c>
      <c r="B99" s="293" t="s">
        <v>249</v>
      </c>
      <c r="C99" s="314" t="s">
        <v>10</v>
      </c>
      <c r="D99" s="313" t="s">
        <v>11</v>
      </c>
      <c r="E99" s="305" t="s">
        <v>211</v>
      </c>
      <c r="F99" s="306">
        <v>3.9625212377619379</v>
      </c>
      <c r="G99" s="293">
        <v>0.59797160290230011</v>
      </c>
    </row>
    <row r="100" spans="1:7" ht="17.25" x14ac:dyDescent="0.25">
      <c r="A100" s="293" t="s">
        <v>224</v>
      </c>
      <c r="B100" s="293" t="s">
        <v>249</v>
      </c>
      <c r="C100" s="314" t="s">
        <v>10</v>
      </c>
      <c r="D100" s="313" t="s">
        <v>11</v>
      </c>
      <c r="E100" s="305" t="s">
        <v>211</v>
      </c>
      <c r="F100" s="306">
        <v>7.7583465212791476E-3</v>
      </c>
      <c r="G100" s="293">
        <v>-2.110230826834631</v>
      </c>
    </row>
    <row r="101" spans="1:7" ht="17.25" x14ac:dyDescent="0.25">
      <c r="A101" s="293" t="s">
        <v>224</v>
      </c>
      <c r="B101" s="293" t="s">
        <v>249</v>
      </c>
      <c r="C101" s="311" t="s">
        <v>33</v>
      </c>
      <c r="D101" s="313" t="s">
        <v>11</v>
      </c>
      <c r="E101" s="305" t="s">
        <v>209</v>
      </c>
      <c r="F101" s="306">
        <v>14.693091755576809</v>
      </c>
      <c r="G101" s="293">
        <v>1.167113190691959</v>
      </c>
    </row>
    <row r="102" spans="1:7" ht="17.25" x14ac:dyDescent="0.25">
      <c r="A102" s="293" t="s">
        <v>224</v>
      </c>
      <c r="B102" s="293" t="s">
        <v>249</v>
      </c>
      <c r="C102" s="311" t="s">
        <v>33</v>
      </c>
      <c r="D102" s="313" t="s">
        <v>11</v>
      </c>
      <c r="E102" s="305" t="s">
        <v>209</v>
      </c>
      <c r="F102" s="306">
        <v>5.5849349719849553</v>
      </c>
      <c r="G102" s="293">
        <v>0.74701812078689811</v>
      </c>
    </row>
    <row r="103" spans="1:7" ht="17.25" x14ac:dyDescent="0.25">
      <c r="A103" s="293" t="s">
        <v>224</v>
      </c>
      <c r="B103" s="293" t="s">
        <v>249</v>
      </c>
      <c r="C103" s="311" t="s">
        <v>33</v>
      </c>
      <c r="D103" s="313" t="s">
        <v>11</v>
      </c>
      <c r="E103" s="305" t="s">
        <v>209</v>
      </c>
      <c r="F103" s="306">
        <v>0.13003541430655355</v>
      </c>
      <c r="G103" s="293">
        <v>-0.88593835428260803</v>
      </c>
    </row>
    <row r="104" spans="1:7" ht="17.25" x14ac:dyDescent="0.25">
      <c r="A104" s="293" t="s">
        <v>224</v>
      </c>
      <c r="B104" s="293" t="s">
        <v>249</v>
      </c>
      <c r="C104" s="311" t="s">
        <v>33</v>
      </c>
      <c r="D104" s="313" t="s">
        <v>11</v>
      </c>
      <c r="E104" s="305" t="s">
        <v>210</v>
      </c>
      <c r="F104" s="306">
        <v>9.0941219554168367</v>
      </c>
      <c r="G104" s="293">
        <v>0.95876077395193871</v>
      </c>
    </row>
    <row r="105" spans="1:7" ht="17.25" x14ac:dyDescent="0.25">
      <c r="A105" s="293" t="s">
        <v>224</v>
      </c>
      <c r="B105" s="293" t="s">
        <v>249</v>
      </c>
      <c r="C105" s="311" t="s">
        <v>33</v>
      </c>
      <c r="D105" s="313" t="s">
        <v>11</v>
      </c>
      <c r="E105" s="305" t="s">
        <v>210</v>
      </c>
      <c r="F105" s="306">
        <v>1.3964706549535058</v>
      </c>
      <c r="G105" s="293">
        <v>0.14503181398928577</v>
      </c>
    </row>
    <row r="106" spans="1:7" ht="17.25" x14ac:dyDescent="0.25">
      <c r="A106" s="293" t="s">
        <v>224</v>
      </c>
      <c r="B106" s="293" t="s">
        <v>249</v>
      </c>
      <c r="C106" s="311" t="s">
        <v>33</v>
      </c>
      <c r="D106" s="313" t="s">
        <v>11</v>
      </c>
      <c r="E106" s="305" t="s">
        <v>210</v>
      </c>
      <c r="F106" s="306">
        <v>0.12188984596174199</v>
      </c>
      <c r="G106" s="293">
        <v>-0.91403247179310654</v>
      </c>
    </row>
    <row r="107" spans="1:7" ht="17.25" x14ac:dyDescent="0.25">
      <c r="A107" s="293" t="s">
        <v>224</v>
      </c>
      <c r="B107" s="293" t="s">
        <v>249</v>
      </c>
      <c r="C107" s="311" t="s">
        <v>33</v>
      </c>
      <c r="D107" s="313" t="s">
        <v>11</v>
      </c>
      <c r="E107" s="305" t="s">
        <v>211</v>
      </c>
      <c r="F107" s="306">
        <v>35.225029567042775</v>
      </c>
      <c r="G107" s="293">
        <v>1.5468513663178918</v>
      </c>
    </row>
    <row r="108" spans="1:7" ht="17.25" x14ac:dyDescent="0.25">
      <c r="A108" s="293" t="s">
        <v>224</v>
      </c>
      <c r="B108" s="293" t="s">
        <v>249</v>
      </c>
      <c r="C108" s="311" t="s">
        <v>33</v>
      </c>
      <c r="D108" s="313" t="s">
        <v>11</v>
      </c>
      <c r="E108" s="305" t="s">
        <v>211</v>
      </c>
      <c r="F108" s="306">
        <v>5.2201687322753196</v>
      </c>
      <c r="G108" s="293">
        <v>0.71768454099302181</v>
      </c>
    </row>
    <row r="109" spans="1:7" ht="17.25" x14ac:dyDescent="0.25">
      <c r="A109" s="293" t="s">
        <v>224</v>
      </c>
      <c r="B109" s="293" t="s">
        <v>249</v>
      </c>
      <c r="C109" s="311" t="s">
        <v>33</v>
      </c>
      <c r="D109" s="313" t="s">
        <v>11</v>
      </c>
      <c r="E109" s="305" t="s">
        <v>211</v>
      </c>
      <c r="F109" s="306">
        <v>0.21686414491433048</v>
      </c>
      <c r="G109" s="293">
        <v>-0.66381224583296616</v>
      </c>
    </row>
  </sheetData>
  <phoneticPr fontId="3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ARN samples</vt:lpstr>
      <vt:lpstr>Treatments data</vt:lpstr>
      <vt:lpstr>qPCR raw data</vt:lpstr>
      <vt:lpstr>RefFinder</vt:lpstr>
      <vt:lpstr>Expression stability</vt:lpstr>
      <vt:lpstr>Pair_variation</vt:lpstr>
      <vt:lpstr>Absolute expression</vt:lpstr>
      <vt:lpstr>Absolute expression tissues</vt:lpstr>
      <vt:lpstr>Absolute expression sex</vt:lpstr>
      <vt:lpstr>Cq_tagged</vt:lpstr>
      <vt:lpstr>P_value</vt:lpstr>
      <vt:lpstr>EGR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</dc:creator>
  <cp:keywords/>
  <dc:description/>
  <cp:lastModifiedBy>Ángel Ojeda</cp:lastModifiedBy>
  <cp:revision/>
  <dcterms:created xsi:type="dcterms:W3CDTF">2024-03-25T22:03:41Z</dcterms:created>
  <dcterms:modified xsi:type="dcterms:W3CDTF">2025-03-17T16:58:33Z</dcterms:modified>
  <cp:category/>
  <cp:contentStatus/>
</cp:coreProperties>
</file>